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skarjain/Desktop/"/>
    </mc:Choice>
  </mc:AlternateContent>
  <xr:revisionPtr revIDLastSave="0" documentId="13_ncr:1_{6611E6A1-33B0-704E-AE67-D6E5A2F9FAE3}" xr6:coauthVersionLast="47" xr6:coauthVersionMax="47" xr10:uidLastSave="{00000000-0000-0000-0000-000000000000}"/>
  <bookViews>
    <workbookView xWindow="0" yWindow="740" windowWidth="29400" windowHeight="18380" activeTab="3" xr2:uid="{D39EE176-0C1D-3441-8EB4-571125E77837}"/>
  </bookViews>
  <sheets>
    <sheet name="Actual Expenses" sheetId="10" r:id="rId1"/>
    <sheet name="Forecast" sheetId="6" r:id="rId2"/>
    <sheet name="Income Statement" sheetId="8" r:id="rId3"/>
    <sheet name="Insights And Recommendations" sheetId="11" r:id="rId4"/>
    <sheet name="Visuals" sheetId="9" state="hidden" r:id="rId5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3" i="6" l="1"/>
  <c r="K43" i="6"/>
  <c r="L43" i="6"/>
  <c r="M43" i="6"/>
  <c r="N43" i="6"/>
  <c r="O43" i="6"/>
  <c r="P43" i="6"/>
  <c r="Q43" i="6"/>
  <c r="R43" i="6"/>
  <c r="S43" i="6"/>
  <c r="T43" i="6"/>
  <c r="I43" i="6"/>
  <c r="J21" i="6"/>
  <c r="K21" i="6"/>
  <c r="L21" i="6"/>
  <c r="M21" i="6"/>
  <c r="N21" i="6"/>
  <c r="O21" i="6"/>
  <c r="P21" i="6"/>
  <c r="Q21" i="6"/>
  <c r="R21" i="6"/>
  <c r="S21" i="6"/>
  <c r="T21" i="6"/>
  <c r="I21" i="6"/>
  <c r="I44" i="6"/>
  <c r="J44" i="6"/>
  <c r="K44" i="6"/>
  <c r="L44" i="6"/>
  <c r="M44" i="6"/>
  <c r="N44" i="6"/>
  <c r="O44" i="6"/>
  <c r="P44" i="6"/>
  <c r="Q44" i="6"/>
  <c r="R44" i="6"/>
  <c r="S44" i="6"/>
  <c r="T44" i="6"/>
  <c r="I7" i="6"/>
  <c r="I45" i="6"/>
  <c r="I46" i="6"/>
  <c r="I47" i="6"/>
  <c r="I48" i="6"/>
  <c r="I49" i="6"/>
  <c r="I50" i="6"/>
  <c r="J45" i="6"/>
  <c r="K45" i="6"/>
  <c r="L45" i="6"/>
  <c r="M45" i="6"/>
  <c r="N45" i="6"/>
  <c r="O45" i="6"/>
  <c r="P45" i="6"/>
  <c r="Q45" i="6"/>
  <c r="R45" i="6"/>
  <c r="S45" i="6"/>
  <c r="T45" i="6"/>
  <c r="J46" i="6"/>
  <c r="K46" i="6"/>
  <c r="L46" i="6"/>
  <c r="M46" i="6"/>
  <c r="N46" i="6"/>
  <c r="O46" i="6"/>
  <c r="P46" i="6"/>
  <c r="Q46" i="6"/>
  <c r="R46" i="6"/>
  <c r="S46" i="6"/>
  <c r="T46" i="6"/>
  <c r="J47" i="6"/>
  <c r="K47" i="6"/>
  <c r="L47" i="6"/>
  <c r="M47" i="6"/>
  <c r="N47" i="6"/>
  <c r="O47" i="6"/>
  <c r="P47" i="6"/>
  <c r="Q47" i="6"/>
  <c r="R47" i="6"/>
  <c r="S47" i="6"/>
  <c r="T47" i="6"/>
  <c r="J48" i="6"/>
  <c r="K48" i="6"/>
  <c r="L48" i="6"/>
  <c r="M48" i="6"/>
  <c r="N48" i="6"/>
  <c r="O48" i="6"/>
  <c r="P48" i="6"/>
  <c r="Q48" i="6"/>
  <c r="R48" i="6"/>
  <c r="S48" i="6"/>
  <c r="T48" i="6"/>
  <c r="J49" i="6"/>
  <c r="K49" i="6"/>
  <c r="L49" i="6"/>
  <c r="M49" i="6"/>
  <c r="N49" i="6"/>
  <c r="O49" i="6"/>
  <c r="P49" i="6"/>
  <c r="Q49" i="6"/>
  <c r="R49" i="6"/>
  <c r="S49" i="6"/>
  <c r="T49" i="6"/>
  <c r="J50" i="6"/>
  <c r="K50" i="6"/>
  <c r="L50" i="6"/>
  <c r="M50" i="6"/>
  <c r="N50" i="6"/>
  <c r="O50" i="6"/>
  <c r="P50" i="6"/>
  <c r="Q50" i="6"/>
  <c r="R50" i="6"/>
  <c r="S50" i="6"/>
  <c r="T50" i="6"/>
  <c r="I22" i="6"/>
  <c r="J7" i="6" l="1"/>
  <c r="K7" i="6"/>
  <c r="L7" i="6"/>
  <c r="M7" i="6"/>
  <c r="N7" i="6"/>
  <c r="T7" i="6"/>
  <c r="J8" i="6"/>
  <c r="K8" i="6"/>
  <c r="L8" i="6"/>
  <c r="M8" i="6"/>
  <c r="I8" i="6"/>
  <c r="Q7" i="6"/>
  <c r="S7" i="6"/>
  <c r="J22" i="6"/>
  <c r="K22" i="6"/>
  <c r="L22" i="6"/>
  <c r="M22" i="6"/>
  <c r="N22" i="6"/>
  <c r="O22" i="6"/>
  <c r="P22" i="6"/>
  <c r="P8" i="6" s="1"/>
  <c r="Q22" i="6"/>
  <c r="Q8" i="6" s="1"/>
  <c r="R22" i="6"/>
  <c r="R8" i="6" s="1"/>
  <c r="S22" i="6"/>
  <c r="T22" i="6"/>
  <c r="D5" i="8"/>
  <c r="E5" i="8"/>
  <c r="F5" i="8"/>
  <c r="G5" i="8"/>
  <c r="H5" i="8"/>
  <c r="I5" i="8"/>
  <c r="J5" i="8"/>
  <c r="K5" i="8"/>
  <c r="L5" i="8"/>
  <c r="M5" i="8"/>
  <c r="N5" i="8"/>
  <c r="C5" i="8"/>
  <c r="B11" i="8" a="1"/>
  <c r="B11" i="8" s="1"/>
  <c r="S8" i="6"/>
  <c r="T8" i="6"/>
  <c r="F42" i="6"/>
  <c r="G42" i="6"/>
  <c r="H42" i="6"/>
  <c r="I42" i="6" s="1"/>
  <c r="J42" i="6" s="1"/>
  <c r="K42" i="6" s="1"/>
  <c r="L42" i="6" s="1"/>
  <c r="M42" i="6" s="1"/>
  <c r="N42" i="6" s="1"/>
  <c r="O42" i="6" s="1"/>
  <c r="P42" i="6" s="1"/>
  <c r="Q42" i="6" s="1"/>
  <c r="R42" i="6" s="1"/>
  <c r="S42" i="6" s="1"/>
  <c r="T42" i="6" s="1"/>
  <c r="E42" i="6"/>
  <c r="C42" i="6"/>
  <c r="D42" i="6"/>
  <c r="C43" i="6"/>
  <c r="D43" i="6"/>
  <c r="E43" i="6"/>
  <c r="F43" i="6"/>
  <c r="G43" i="6"/>
  <c r="H43" i="6"/>
  <c r="C44" i="6"/>
  <c r="D44" i="6"/>
  <c r="E44" i="6"/>
  <c r="F44" i="6"/>
  <c r="G44" i="6"/>
  <c r="H44" i="6"/>
  <c r="C45" i="6"/>
  <c r="D45" i="6"/>
  <c r="E45" i="6"/>
  <c r="F45" i="6"/>
  <c r="G45" i="6"/>
  <c r="H45" i="6"/>
  <c r="C46" i="6"/>
  <c r="D46" i="6"/>
  <c r="E46" i="6"/>
  <c r="F46" i="6"/>
  <c r="G46" i="6"/>
  <c r="H46" i="6"/>
  <c r="C47" i="6"/>
  <c r="D47" i="6"/>
  <c r="E47" i="6"/>
  <c r="F47" i="6"/>
  <c r="G47" i="6"/>
  <c r="H47" i="6"/>
  <c r="C48" i="6"/>
  <c r="D48" i="6"/>
  <c r="E48" i="6"/>
  <c r="F48" i="6"/>
  <c r="G48" i="6"/>
  <c r="H48" i="6"/>
  <c r="C49" i="6"/>
  <c r="D49" i="6"/>
  <c r="E49" i="6"/>
  <c r="F49" i="6"/>
  <c r="G49" i="6"/>
  <c r="H49" i="6"/>
  <c r="C50" i="6"/>
  <c r="D50" i="6"/>
  <c r="E50" i="6"/>
  <c r="F50" i="6"/>
  <c r="G50" i="6"/>
  <c r="H50" i="6"/>
  <c r="B43" i="6"/>
  <c r="B44" i="6"/>
  <c r="B45" i="6"/>
  <c r="B46" i="6"/>
  <c r="B47" i="6"/>
  <c r="B48" i="6"/>
  <c r="B49" i="6"/>
  <c r="B50" i="6"/>
  <c r="B42" i="6"/>
  <c r="H31" i="6"/>
  <c r="I31" i="6" s="1"/>
  <c r="J31" i="6" s="1"/>
  <c r="K31" i="6" s="1"/>
  <c r="L31" i="6" s="1"/>
  <c r="M31" i="6" s="1"/>
  <c r="N31" i="6" s="1"/>
  <c r="O31" i="6" s="1"/>
  <c r="P31" i="6" s="1"/>
  <c r="Q31" i="6" s="1"/>
  <c r="R31" i="6" s="1"/>
  <c r="S31" i="6" s="1"/>
  <c r="T31" i="6" s="1"/>
  <c r="G31" i="6"/>
  <c r="F31" i="6"/>
  <c r="E31" i="6"/>
  <c r="C31" i="6"/>
  <c r="D31" i="6"/>
  <c r="C32" i="6"/>
  <c r="D32" i="6"/>
  <c r="E32" i="6"/>
  <c r="F32" i="6"/>
  <c r="G32" i="6"/>
  <c r="H32" i="6"/>
  <c r="C33" i="6"/>
  <c r="D33" i="6"/>
  <c r="E33" i="6"/>
  <c r="F33" i="6"/>
  <c r="G33" i="6"/>
  <c r="H33" i="6"/>
  <c r="C34" i="6"/>
  <c r="D34" i="6"/>
  <c r="E34" i="6"/>
  <c r="F34" i="6"/>
  <c r="G34" i="6"/>
  <c r="H34" i="6"/>
  <c r="C35" i="6"/>
  <c r="D35" i="6"/>
  <c r="E35" i="6"/>
  <c r="F35" i="6"/>
  <c r="G35" i="6"/>
  <c r="H35" i="6"/>
  <c r="C36" i="6"/>
  <c r="D36" i="6"/>
  <c r="E36" i="6"/>
  <c r="F36" i="6"/>
  <c r="G36" i="6"/>
  <c r="H36" i="6"/>
  <c r="C37" i="6"/>
  <c r="D37" i="6"/>
  <c r="E37" i="6"/>
  <c r="F37" i="6"/>
  <c r="G37" i="6"/>
  <c r="H37" i="6"/>
  <c r="C38" i="6"/>
  <c r="D38" i="6"/>
  <c r="E38" i="6"/>
  <c r="F38" i="6"/>
  <c r="G38" i="6"/>
  <c r="H38" i="6"/>
  <c r="C39" i="6"/>
  <c r="D39" i="6"/>
  <c r="E39" i="6"/>
  <c r="F39" i="6"/>
  <c r="G39" i="6"/>
  <c r="H39" i="6"/>
  <c r="B32" i="6"/>
  <c r="B33" i="6"/>
  <c r="B34" i="6"/>
  <c r="B35" i="6"/>
  <c r="B36" i="6"/>
  <c r="B37" i="6"/>
  <c r="B38" i="6"/>
  <c r="B39" i="6"/>
  <c r="B31" i="6"/>
  <c r="H20" i="6"/>
  <c r="I20" i="6" s="1"/>
  <c r="J20" i="6" s="1"/>
  <c r="K20" i="6" s="1"/>
  <c r="L20" i="6" s="1"/>
  <c r="M20" i="6" s="1"/>
  <c r="N20" i="6" s="1"/>
  <c r="O20" i="6" s="1"/>
  <c r="P20" i="6" s="1"/>
  <c r="Q20" i="6" s="1"/>
  <c r="R20" i="6" s="1"/>
  <c r="S20" i="6" s="1"/>
  <c r="T20" i="6" s="1"/>
  <c r="G20" i="6"/>
  <c r="G6" i="6" s="1"/>
  <c r="F20" i="6"/>
  <c r="F6" i="6" s="1"/>
  <c r="E20" i="6"/>
  <c r="E6" i="6" s="1"/>
  <c r="C20" i="6"/>
  <c r="C6" i="6" s="1"/>
  <c r="D20" i="6"/>
  <c r="D6" i="6" s="1"/>
  <c r="C21" i="6"/>
  <c r="C7" i="6" s="1"/>
  <c r="D21" i="6"/>
  <c r="D7" i="6" s="1"/>
  <c r="E21" i="6"/>
  <c r="E7" i="6" s="1"/>
  <c r="F21" i="6"/>
  <c r="F7" i="6" s="1"/>
  <c r="G21" i="6"/>
  <c r="G7" i="6" s="1"/>
  <c r="H21" i="6"/>
  <c r="H7" i="6" s="1"/>
  <c r="C22" i="6"/>
  <c r="C8" i="6" s="1"/>
  <c r="D22" i="6"/>
  <c r="D8" i="6" s="1"/>
  <c r="E22" i="6"/>
  <c r="E8" i="6" s="1"/>
  <c r="F22" i="6"/>
  <c r="F8" i="6" s="1"/>
  <c r="G22" i="6"/>
  <c r="G8" i="6" s="1"/>
  <c r="H22" i="6"/>
  <c r="H8" i="6" s="1"/>
  <c r="C23" i="6"/>
  <c r="C9" i="6" s="1"/>
  <c r="D23" i="6"/>
  <c r="D9" i="6" s="1"/>
  <c r="E23" i="6"/>
  <c r="E9" i="6" s="1"/>
  <c r="F23" i="6"/>
  <c r="F9" i="6" s="1"/>
  <c r="G23" i="6"/>
  <c r="G9" i="6" s="1"/>
  <c r="H23" i="6"/>
  <c r="H9" i="6" s="1"/>
  <c r="C24" i="6"/>
  <c r="C10" i="6" s="1"/>
  <c r="D24" i="6"/>
  <c r="D10" i="6" s="1"/>
  <c r="E24" i="6"/>
  <c r="E10" i="6" s="1"/>
  <c r="F24" i="6"/>
  <c r="F10" i="6" s="1"/>
  <c r="G24" i="6"/>
  <c r="G10" i="6" s="1"/>
  <c r="H24" i="6"/>
  <c r="H10" i="6" s="1"/>
  <c r="C25" i="6"/>
  <c r="C11" i="6" s="1"/>
  <c r="D25" i="6"/>
  <c r="D11" i="6" s="1"/>
  <c r="E25" i="6"/>
  <c r="E11" i="6" s="1"/>
  <c r="F25" i="6"/>
  <c r="F11" i="6" s="1"/>
  <c r="G25" i="6"/>
  <c r="G11" i="6" s="1"/>
  <c r="H25" i="6"/>
  <c r="H11" i="6" s="1"/>
  <c r="C26" i="6"/>
  <c r="C12" i="6" s="1"/>
  <c r="D26" i="6"/>
  <c r="D12" i="6" s="1"/>
  <c r="E26" i="6"/>
  <c r="E12" i="6" s="1"/>
  <c r="F26" i="6"/>
  <c r="F12" i="6" s="1"/>
  <c r="G26" i="6"/>
  <c r="G12" i="6" s="1"/>
  <c r="H26" i="6"/>
  <c r="H12" i="6" s="1"/>
  <c r="C27" i="6"/>
  <c r="C13" i="6" s="1"/>
  <c r="D27" i="6"/>
  <c r="D13" i="6" s="1"/>
  <c r="E27" i="6"/>
  <c r="E13" i="6" s="1"/>
  <c r="F27" i="6"/>
  <c r="F13" i="6" s="1"/>
  <c r="G27" i="6"/>
  <c r="G13" i="6" s="1"/>
  <c r="H27" i="6"/>
  <c r="H13" i="6" s="1"/>
  <c r="C28" i="6"/>
  <c r="C14" i="6" s="1"/>
  <c r="D28" i="6"/>
  <c r="D14" i="6" s="1"/>
  <c r="E28" i="6"/>
  <c r="E14" i="6" s="1"/>
  <c r="F28" i="6"/>
  <c r="F14" i="6" s="1"/>
  <c r="G28" i="6"/>
  <c r="G14" i="6" s="1"/>
  <c r="H28" i="6"/>
  <c r="H14" i="6" s="1"/>
  <c r="B21" i="6"/>
  <c r="B7" i="6" s="1"/>
  <c r="B22" i="6"/>
  <c r="B8" i="6" s="1"/>
  <c r="B23" i="6"/>
  <c r="B9" i="6" s="1"/>
  <c r="B24" i="6"/>
  <c r="B10" i="6" s="1"/>
  <c r="B25" i="6"/>
  <c r="B11" i="6" s="1"/>
  <c r="B26" i="6"/>
  <c r="B12" i="6" s="1"/>
  <c r="B27" i="6"/>
  <c r="B13" i="6" s="1"/>
  <c r="B28" i="6"/>
  <c r="B14" i="6" s="1"/>
  <c r="B20" i="6"/>
  <c r="B6" i="6" s="1"/>
  <c r="F5" i="10"/>
  <c r="G5" i="10" s="1"/>
  <c r="H5" i="10" s="1"/>
  <c r="E5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I33" i="6"/>
  <c r="I34" i="6"/>
  <c r="I35" i="6"/>
  <c r="I39" i="6"/>
  <c r="I36" i="6"/>
  <c r="I37" i="6"/>
  <c r="I38" i="6"/>
  <c r="I32" i="6"/>
  <c r="J33" i="6"/>
  <c r="J35" i="6"/>
  <c r="J39" i="6"/>
  <c r="J36" i="6"/>
  <c r="J37" i="6"/>
  <c r="J32" i="6"/>
  <c r="K33" i="6"/>
  <c r="L33" i="6"/>
  <c r="M33" i="6"/>
  <c r="N33" i="6"/>
  <c r="K35" i="6"/>
  <c r="L35" i="6"/>
  <c r="M35" i="6"/>
  <c r="N35" i="6"/>
  <c r="K39" i="6"/>
  <c r="L39" i="6"/>
  <c r="M39" i="6"/>
  <c r="K36" i="6"/>
  <c r="L36" i="6"/>
  <c r="K37" i="6"/>
  <c r="L37" i="6"/>
  <c r="K32" i="6"/>
  <c r="L32" i="6"/>
  <c r="M32" i="6"/>
  <c r="N32" i="6"/>
  <c r="O33" i="6"/>
  <c r="P33" i="6"/>
  <c r="Q33" i="6"/>
  <c r="R33" i="6"/>
  <c r="O35" i="6"/>
  <c r="P35" i="6"/>
  <c r="Q35" i="6"/>
  <c r="R35" i="6"/>
  <c r="S35" i="6"/>
  <c r="N39" i="6"/>
  <c r="O39" i="6"/>
  <c r="P39" i="6"/>
  <c r="Q39" i="6"/>
  <c r="R39" i="6"/>
  <c r="S39" i="6"/>
  <c r="T39" i="6"/>
  <c r="M36" i="6"/>
  <c r="N36" i="6"/>
  <c r="O36" i="6"/>
  <c r="P36" i="6"/>
  <c r="Q36" i="6"/>
  <c r="R36" i="6"/>
  <c r="M37" i="6"/>
  <c r="N37" i="6"/>
  <c r="O37" i="6"/>
  <c r="P37" i="6"/>
  <c r="Q37" i="6"/>
  <c r="R37" i="6"/>
  <c r="S37" i="6"/>
  <c r="O32" i="6"/>
  <c r="P32" i="6"/>
  <c r="Q32" i="6"/>
  <c r="R32" i="6"/>
  <c r="J34" i="6"/>
  <c r="J38" i="6"/>
  <c r="S33" i="6"/>
  <c r="T35" i="6"/>
  <c r="S36" i="6"/>
  <c r="T37" i="6"/>
  <c r="S32" i="6"/>
  <c r="K34" i="6"/>
  <c r="K38" i="6"/>
  <c r="T33" i="6"/>
  <c r="T36" i="6"/>
  <c r="T32" i="6"/>
  <c r="L34" i="6"/>
  <c r="M34" i="6"/>
  <c r="N34" i="6"/>
  <c r="O34" i="6"/>
  <c r="P34" i="6"/>
  <c r="Q34" i="6"/>
  <c r="R34" i="6"/>
  <c r="S34" i="6"/>
  <c r="L38" i="6"/>
  <c r="M38" i="6"/>
  <c r="N38" i="6"/>
  <c r="O38" i="6"/>
  <c r="P38" i="6"/>
  <c r="Q38" i="6"/>
  <c r="T34" i="6"/>
  <c r="R38" i="6"/>
  <c r="S38" i="6"/>
  <c r="T38" i="6"/>
  <c r="E11" i="8" l="1"/>
  <c r="R7" i="6"/>
  <c r="C11" i="8"/>
  <c r="O8" i="6"/>
  <c r="P7" i="6"/>
  <c r="J11" i="8" s="1"/>
  <c r="J30" i="8" s="1"/>
  <c r="J31" i="8" s="1"/>
  <c r="J35" i="8" s="1"/>
  <c r="N8" i="6"/>
  <c r="H11" i="8" s="1"/>
  <c r="H30" i="8" s="1"/>
  <c r="H31" i="8" s="1"/>
  <c r="O7" i="6"/>
  <c r="D11" i="8"/>
  <c r="D30" i="8" s="1"/>
  <c r="D31" i="8" s="1"/>
  <c r="G11" i="8"/>
  <c r="G30" i="8" s="1"/>
  <c r="G31" i="8" s="1"/>
  <c r="F11" i="8"/>
  <c r="M11" i="8"/>
  <c r="L11" i="8"/>
  <c r="K11" i="8"/>
  <c r="K30" i="8" s="1"/>
  <c r="K31" i="8" s="1"/>
  <c r="N11" i="8"/>
  <c r="N30" i="8" s="1"/>
  <c r="N31" i="8" s="1"/>
  <c r="H6" i="6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T13" i="6"/>
  <c r="T27" i="6"/>
  <c r="S27" i="6"/>
  <c r="S13" i="6"/>
  <c r="R27" i="6"/>
  <c r="R13" i="6"/>
  <c r="T9" i="6"/>
  <c r="T23" i="6"/>
  <c r="Q13" i="6"/>
  <c r="Q27" i="6"/>
  <c r="P13" i="6"/>
  <c r="P27" i="6"/>
  <c r="O13" i="6"/>
  <c r="O27" i="6"/>
  <c r="N13" i="6"/>
  <c r="N27" i="6"/>
  <c r="M27" i="6"/>
  <c r="M13" i="6"/>
  <c r="L27" i="6"/>
  <c r="L13" i="6"/>
  <c r="S23" i="6"/>
  <c r="S9" i="6"/>
  <c r="R9" i="6"/>
  <c r="R23" i="6"/>
  <c r="Q23" i="6"/>
  <c r="Q9" i="6"/>
  <c r="P23" i="6"/>
  <c r="P9" i="6"/>
  <c r="O23" i="6"/>
  <c r="O9" i="6"/>
  <c r="N9" i="6"/>
  <c r="H12" i="8" s="1"/>
  <c r="N23" i="6"/>
  <c r="M9" i="6"/>
  <c r="M23" i="6"/>
  <c r="L23" i="6"/>
  <c r="L9" i="6"/>
  <c r="T25" i="6"/>
  <c r="T11" i="6"/>
  <c r="K13" i="6"/>
  <c r="K27" i="6"/>
  <c r="K9" i="6"/>
  <c r="K23" i="6"/>
  <c r="T12" i="6"/>
  <c r="T26" i="6"/>
  <c r="S11" i="6"/>
  <c r="S25" i="6"/>
  <c r="T10" i="6"/>
  <c r="T24" i="6"/>
  <c r="J13" i="6"/>
  <c r="J27" i="6"/>
  <c r="J9" i="6"/>
  <c r="J23" i="6"/>
  <c r="S26" i="6"/>
  <c r="S12" i="6"/>
  <c r="R12" i="6"/>
  <c r="R26" i="6"/>
  <c r="Q26" i="6"/>
  <c r="Q12" i="6"/>
  <c r="P26" i="6"/>
  <c r="P12" i="6"/>
  <c r="O12" i="6"/>
  <c r="O26" i="6"/>
  <c r="N12" i="6"/>
  <c r="N26" i="6"/>
  <c r="M26" i="6"/>
  <c r="M12" i="6"/>
  <c r="R11" i="6"/>
  <c r="R25" i="6"/>
  <c r="Q25" i="6"/>
  <c r="Q11" i="6"/>
  <c r="P11" i="6"/>
  <c r="P25" i="6"/>
  <c r="O25" i="6"/>
  <c r="O11" i="6"/>
  <c r="N11" i="6"/>
  <c r="N25" i="6"/>
  <c r="M11" i="6"/>
  <c r="M25" i="6"/>
  <c r="T14" i="6"/>
  <c r="T28" i="6"/>
  <c r="S14" i="6"/>
  <c r="S28" i="6"/>
  <c r="R28" i="6"/>
  <c r="R14" i="6"/>
  <c r="Q28" i="6"/>
  <c r="Q14" i="6"/>
  <c r="P14" i="6"/>
  <c r="P28" i="6"/>
  <c r="O28" i="6"/>
  <c r="O14" i="6"/>
  <c r="N28" i="6"/>
  <c r="N14" i="6"/>
  <c r="S24" i="6"/>
  <c r="S10" i="6"/>
  <c r="R24" i="6"/>
  <c r="R10" i="6"/>
  <c r="Q10" i="6"/>
  <c r="Q24" i="6"/>
  <c r="P24" i="6"/>
  <c r="P10" i="6"/>
  <c r="O24" i="6"/>
  <c r="O10" i="6"/>
  <c r="L26" i="6"/>
  <c r="L12" i="6"/>
  <c r="K12" i="6"/>
  <c r="K26" i="6"/>
  <c r="L11" i="6"/>
  <c r="L25" i="6"/>
  <c r="K25" i="6"/>
  <c r="K11" i="6"/>
  <c r="M14" i="6"/>
  <c r="M28" i="6"/>
  <c r="L14" i="6"/>
  <c r="L28" i="6"/>
  <c r="K28" i="6"/>
  <c r="K14" i="6"/>
  <c r="N10" i="6"/>
  <c r="N24" i="6"/>
  <c r="M10" i="6"/>
  <c r="M24" i="6"/>
  <c r="L10" i="6"/>
  <c r="F12" i="8" s="1"/>
  <c r="L24" i="6"/>
  <c r="K24" i="6"/>
  <c r="K10" i="6"/>
  <c r="J26" i="6"/>
  <c r="J12" i="6"/>
  <c r="J25" i="6"/>
  <c r="J11" i="6"/>
  <c r="J28" i="6"/>
  <c r="J14" i="6"/>
  <c r="J10" i="6"/>
  <c r="J24" i="6"/>
  <c r="I13" i="6"/>
  <c r="I27" i="6"/>
  <c r="I12" i="6"/>
  <c r="I26" i="6"/>
  <c r="I25" i="6"/>
  <c r="I11" i="6"/>
  <c r="I28" i="6"/>
  <c r="I14" i="6"/>
  <c r="I10" i="6"/>
  <c r="I24" i="6"/>
  <c r="I23" i="6"/>
  <c r="I9" i="6"/>
  <c r="I11" i="8" l="1"/>
  <c r="I30" i="8" s="1"/>
  <c r="I31" i="8" s="1"/>
  <c r="J13" i="8"/>
  <c r="E14" i="8"/>
  <c r="N14" i="8"/>
  <c r="M14" i="8"/>
  <c r="N12" i="8"/>
  <c r="D14" i="8"/>
  <c r="C14" i="8"/>
  <c r="I14" i="8"/>
  <c r="K14" i="8"/>
  <c r="L14" i="8"/>
  <c r="M13" i="8"/>
  <c r="G12" i="8"/>
  <c r="L12" i="8"/>
  <c r="G14" i="8"/>
  <c r="J14" i="8"/>
  <c r="D12" i="8"/>
  <c r="K13" i="8"/>
  <c r="H13" i="8"/>
  <c r="H14" i="8"/>
  <c r="M12" i="8"/>
  <c r="I13" i="8"/>
  <c r="E12" i="8"/>
  <c r="D13" i="8"/>
  <c r="N13" i="8"/>
  <c r="J12" i="8"/>
  <c r="I12" i="8"/>
  <c r="F13" i="8"/>
  <c r="G13" i="8"/>
  <c r="L13" i="8"/>
  <c r="E13" i="8"/>
  <c r="F14" i="8"/>
  <c r="K12" i="8"/>
  <c r="J6" i="8"/>
  <c r="C13" i="8"/>
  <c r="C12" i="8"/>
  <c r="N35" i="8"/>
  <c r="N6" i="8"/>
  <c r="G6" i="8"/>
  <c r="G35" i="8"/>
  <c r="M30" i="8"/>
  <c r="M31" i="8" s="1"/>
  <c r="I35" i="8"/>
  <c r="I6" i="8"/>
  <c r="D35" i="8"/>
  <c r="D6" i="8"/>
  <c r="D3" i="9" s="1"/>
  <c r="F30" i="8"/>
  <c r="F31" i="8" s="1"/>
  <c r="H35" i="8"/>
  <c r="H6" i="8"/>
  <c r="E30" i="8"/>
  <c r="E31" i="8" s="1"/>
  <c r="K6" i="8"/>
  <c r="K35" i="8"/>
  <c r="J7" i="8"/>
  <c r="J38" i="8"/>
  <c r="J18" i="8" s="1"/>
  <c r="L30" i="8"/>
  <c r="L31" i="8" s="1"/>
  <c r="M15" i="8" l="1"/>
  <c r="N15" i="8"/>
  <c r="K15" i="8"/>
  <c r="E15" i="8"/>
  <c r="G15" i="8"/>
  <c r="D15" i="8"/>
  <c r="H15" i="8"/>
  <c r="F15" i="8"/>
  <c r="I15" i="8"/>
  <c r="L15" i="8"/>
  <c r="J15" i="8"/>
  <c r="J8" i="8"/>
  <c r="K7" i="8"/>
  <c r="K8" i="8" s="1"/>
  <c r="K38" i="8"/>
  <c r="K18" i="8" s="1"/>
  <c r="D38" i="8"/>
  <c r="D18" i="8" s="1"/>
  <c r="D7" i="8"/>
  <c r="D8" i="8" s="1"/>
  <c r="L35" i="8"/>
  <c r="L6" i="8"/>
  <c r="I38" i="8"/>
  <c r="I18" i="8" s="1"/>
  <c r="I7" i="8"/>
  <c r="I8" i="8" s="1"/>
  <c r="E35" i="8"/>
  <c r="E6" i="8"/>
  <c r="E3" i="9" s="1"/>
  <c r="M35" i="8"/>
  <c r="M6" i="8"/>
  <c r="G38" i="8"/>
  <c r="G18" i="8" s="1"/>
  <c r="G7" i="8"/>
  <c r="G8" i="8" s="1"/>
  <c r="H38" i="8"/>
  <c r="H18" i="8" s="1"/>
  <c r="H7" i="8"/>
  <c r="H8" i="8" s="1"/>
  <c r="F6" i="8"/>
  <c r="F35" i="8"/>
  <c r="N38" i="8"/>
  <c r="N18" i="8" s="1"/>
  <c r="N7" i="8"/>
  <c r="N8" i="8" s="1"/>
  <c r="N16" i="8" s="1"/>
  <c r="I16" i="8" l="1"/>
  <c r="H16" i="8"/>
  <c r="G16" i="8"/>
  <c r="D16" i="8"/>
  <c r="K16" i="8"/>
  <c r="J16" i="8"/>
  <c r="J19" i="8" s="1"/>
  <c r="N19" i="8"/>
  <c r="K19" i="8"/>
  <c r="K21" i="8" s="1"/>
  <c r="D19" i="8"/>
  <c r="G19" i="8"/>
  <c r="G21" i="8" s="1"/>
  <c r="I19" i="8"/>
  <c r="I21" i="8" s="1"/>
  <c r="H19" i="8"/>
  <c r="H21" i="8" s="1"/>
  <c r="F38" i="8"/>
  <c r="F18" i="8" s="1"/>
  <c r="F7" i="8"/>
  <c r="F8" i="8" s="1"/>
  <c r="F16" i="8" s="1"/>
  <c r="M7" i="8"/>
  <c r="M8" i="8" s="1"/>
  <c r="M16" i="8" s="1"/>
  <c r="M38" i="8"/>
  <c r="M18" i="8" s="1"/>
  <c r="E38" i="8"/>
  <c r="E18" i="8" s="1"/>
  <c r="E7" i="8"/>
  <c r="E8" i="8" s="1"/>
  <c r="E16" i="8" s="1"/>
  <c r="L7" i="8"/>
  <c r="L8" i="8" s="1"/>
  <c r="L16" i="8" s="1"/>
  <c r="L38" i="8"/>
  <c r="L18" i="8" s="1"/>
  <c r="F3" i="9"/>
  <c r="K22" i="8" l="1"/>
  <c r="G22" i="8"/>
  <c r="N21" i="8"/>
  <c r="N22" i="8" s="1"/>
  <c r="E19" i="8"/>
  <c r="J21" i="8"/>
  <c r="J22" i="8" s="1"/>
  <c r="D21" i="8"/>
  <c r="D22" i="8" s="1"/>
  <c r="D4" i="9" s="1"/>
  <c r="F19" i="8"/>
  <c r="F21" i="8" s="1"/>
  <c r="L19" i="8"/>
  <c r="H22" i="8"/>
  <c r="I22" i="8"/>
  <c r="M19" i="8"/>
  <c r="G3" i="9"/>
  <c r="L21" i="8" l="1"/>
  <c r="L22" i="8" s="1"/>
  <c r="M21" i="8"/>
  <c r="M22" i="8" s="1"/>
  <c r="E21" i="8"/>
  <c r="E22" i="8" s="1"/>
  <c r="E4" i="9" s="1"/>
  <c r="F22" i="8"/>
  <c r="F4" i="9" s="1"/>
  <c r="G4" i="9"/>
  <c r="H3" i="9"/>
  <c r="I3" i="9" l="1"/>
  <c r="H4" i="9" l="1"/>
  <c r="J3" i="9"/>
  <c r="K3" i="9" l="1"/>
  <c r="I4" i="9"/>
  <c r="L3" i="9" l="1"/>
  <c r="J4" i="9"/>
  <c r="K4" i="9" l="1"/>
  <c r="M3" i="9"/>
  <c r="N3" i="9"/>
  <c r="L4" i="9" l="1"/>
  <c r="M4" i="9"/>
  <c r="N4" i="9" l="1"/>
  <c r="C30" i="8" l="1"/>
  <c r="C31" i="8" s="1"/>
  <c r="C15" i="8"/>
  <c r="Q6" i="8" s="1"/>
  <c r="C6" i="8" l="1"/>
  <c r="Q5" i="8" s="1"/>
  <c r="Q7" i="8" s="1"/>
  <c r="Q8" i="8" s="1"/>
  <c r="C35" i="8"/>
  <c r="Q9" i="8" l="1"/>
  <c r="C38" i="8"/>
  <c r="C18" i="8" s="1"/>
  <c r="C7" i="8"/>
  <c r="C8" i="8" s="1"/>
  <c r="C16" i="8" s="1"/>
  <c r="C3" i="9"/>
  <c r="C19" i="8" l="1"/>
  <c r="C21" i="8" s="1"/>
  <c r="C22" i="8" l="1"/>
  <c r="C4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Sanskar Jain</author>
  </authors>
  <commentList>
    <comment ref="B5" authorId="0" shapeId="0" xr:uid="{324EFF96-180D-8D48-80DB-60DE5ABB7C0C}">
      <text>
        <r>
          <rPr>
            <b/>
            <sz val="10"/>
            <color rgb="FF000000"/>
            <rFont val="Tahoma"/>
            <family val="2"/>
          </rPr>
          <t>Sanskar Jain: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 The Live Case represents the currently selected operating scenario based on management assumptions and is used for financial performance evaluation.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Sanskar Jain</author>
  </authors>
  <commentList>
    <comment ref="C2" authorId="0" shapeId="0" xr:uid="{099973F4-1926-9745-80ED-916ECB823529}">
      <text>
        <r>
          <rPr>
            <b/>
            <sz val="10"/>
            <color rgb="FF000000"/>
            <rFont val="Tahoma"/>
            <family val="2"/>
          </rPr>
          <t>Sanskar Jain: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<sst xmlns="http://schemas.openxmlformats.org/spreadsheetml/2006/main" count="99" uniqueCount="77">
  <si>
    <t>Start Date</t>
  </si>
  <si>
    <t>Account #</t>
  </si>
  <si>
    <t>Description</t>
  </si>
  <si>
    <t>Department</t>
  </si>
  <si>
    <t>Marketing</t>
  </si>
  <si>
    <t>Engineering</t>
  </si>
  <si>
    <t>Support</t>
  </si>
  <si>
    <t>HR</t>
  </si>
  <si>
    <t>Paid Ads</t>
  </si>
  <si>
    <t>Infuencers</t>
  </si>
  <si>
    <t>Consulting</t>
  </si>
  <si>
    <t>Travel</t>
  </si>
  <si>
    <t>Recruiting Events</t>
  </si>
  <si>
    <t>Meetups</t>
  </si>
  <si>
    <t>Software</t>
  </si>
  <si>
    <t>Call Center</t>
  </si>
  <si>
    <t>Actuals</t>
  </si>
  <si>
    <t>Forecast</t>
  </si>
  <si>
    <t>Revenue</t>
  </si>
  <si>
    <t>COGS</t>
  </si>
  <si>
    <t>Gross Profit</t>
  </si>
  <si>
    <t>Total operating expenses</t>
  </si>
  <si>
    <t>Operating expenses:</t>
  </si>
  <si>
    <t>Operating income</t>
  </si>
  <si>
    <t>Other income / (expense), net</t>
  </si>
  <si>
    <t>Pre-tax income</t>
  </si>
  <si>
    <t>Taxes</t>
  </si>
  <si>
    <t>Net Income</t>
  </si>
  <si>
    <t>Operating Expenses Scenario</t>
  </si>
  <si>
    <t>Income Statement Forecast</t>
  </si>
  <si>
    <t>in USD</t>
  </si>
  <si>
    <t>x</t>
  </si>
  <si>
    <t>Assumptions</t>
  </si>
  <si>
    <t>Customer Acquisition Cost</t>
  </si>
  <si>
    <t>Price</t>
  </si>
  <si>
    <t>Tax Rate</t>
  </si>
  <si>
    <t>Other</t>
  </si>
  <si>
    <t>COGS % of Revenue</t>
  </si>
  <si>
    <t>Other income / (expense), net % of COGS</t>
  </si>
  <si>
    <t>Profit Margin</t>
  </si>
  <si>
    <t>Actual Operating Expenses</t>
  </si>
  <si>
    <t>Units Sold</t>
  </si>
  <si>
    <t>Best</t>
  </si>
  <si>
    <t>Worst</t>
  </si>
  <si>
    <t>2. Base Case (Management Plan)</t>
  </si>
  <si>
    <t>1. live Case (Selected Scenario)</t>
  </si>
  <si>
    <t>1. Best Case (Cost Optimization)</t>
  </si>
  <si>
    <t>3. Worst Case (Cost Pressure)</t>
  </si>
  <si>
    <t>Scenario</t>
  </si>
  <si>
    <t>Key Assumptions</t>
  </si>
  <si>
    <t>Base Case</t>
  </si>
  <si>
    <t>Best Case</t>
  </si>
  <si>
    <t>Worst Case</t>
  </si>
  <si>
    <t>Live Case</t>
  </si>
  <si>
    <t>Assumes improved cost efficiency through better vendor negotiations, controlled marketing spend, and stable payroll costs.</t>
  </si>
  <si>
    <t>Assumes increased operating costs driven by inflationary pressure, higher marketing spend, and potential overhead inefficiencies.</t>
  </si>
  <si>
    <t>Represents the currently selected operating scenario used for financial evaluation and is dynamically linked to the Income Statement.</t>
  </si>
  <si>
    <t>KPI</t>
  </si>
  <si>
    <t>Formula</t>
  </si>
  <si>
    <t>Total Revenue</t>
  </si>
  <si>
    <t>Total Operating Expenses</t>
  </si>
  <si>
    <t>Operating Profit</t>
  </si>
  <si>
    <t>Operating Margin (%)</t>
  </si>
  <si>
    <t>Expense-to-Revenue Ratio</t>
  </si>
  <si>
    <t xml:space="preserve">Key Financial KPIs </t>
  </si>
  <si>
    <t>Insights &amp; Recommendations</t>
  </si>
  <si>
    <t>Key Insights</t>
  </si>
  <si>
    <t>• Operating expenses are highly sensitive to changes in marketing and administrative costs.</t>
  </si>
  <si>
    <t>• The Best Case scenario improves operating profit and margin through better cost efficiency.</t>
  </si>
  <si>
    <t>• The Worst Case scenario shows margin pressure due to higher operating and overhead costs.</t>
  </si>
  <si>
    <t>• The Live Case represents the most realistic operating outlook and is used for financial evaluation.</t>
  </si>
  <si>
    <t>• Scenario-based forecasting helps identify financial risks before costs are incurred.</t>
  </si>
  <si>
    <t>Management Recommendations</t>
  </si>
  <si>
    <t>• Focus on controlling variable expenses such as marketing and administrative costs to protect profitability.</t>
  </si>
  <si>
    <t>• Use scenario analysis during budget planning to evaluate financial outcomes under different assumptions.</t>
  </si>
  <si>
    <t>• Monitor operating margin as a key performance indicator for cost efficiency.</t>
  </si>
  <si>
    <t>• Update the Live Case regularly to reflect changes in business conditions and cost assumptions.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</si>
</sst>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C09]#,##0"/>
    <numFmt numFmtId="165" formatCode="[$$-C09]#,##0.00"/>
    <numFmt numFmtId="166" formatCode="0.0%"/>
  </numFmts>
  <fonts count="2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432FF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432FF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-webkit-standard"/>
    </font>
    <font>
      <b/>
      <sz val="16"/>
      <color theme="0"/>
      <name val="Calibri"/>
      <family val="2"/>
      <scheme val="minor"/>
    </font>
    <font>
      <b/>
      <sz val="14"/>
      <color rgb="FF000000"/>
      <name val="Calibri (Body)"/>
    </font>
    <font>
      <b/>
      <sz val="20"/>
      <color rgb="FF000000"/>
      <name val="-webkit-standard"/>
    </font>
    <font>
      <sz val="16"/>
      <color theme="1"/>
      <name val="Calibri"/>
      <family val="2"/>
      <scheme val="minor"/>
    </font>
    <font>
      <b/>
      <sz val="20"/>
      <color theme="0"/>
      <name val="-webkit-standard"/>
    </font>
    <font>
      <b/>
      <sz val="16"/>
      <color rgb="FF000000"/>
      <name val="-webkit-standard"/>
    </font>
  </fonts>
  <fills count="10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05">
    <xf numFmtId="0" fontId="0" fillId="0" borderId="0" xfId="0"/>
    <xf numFmtId="3" fontId="0" fillId="0" borderId="0" xfId="0" applyNumberFormat="1" applyAlignment="1">
      <alignment horizontal="center"/>
    </xf>
    <xf numFmtId="3" fontId="0" fillId="0" borderId="0" xfId="0" applyNumberFormat="1"/>
    <xf numFmtId="17" fontId="2" fillId="4" borderId="0" xfId="0" applyNumberFormat="1" applyFont="1" applyFill="1" applyAlignment="1">
      <alignment horizontal="center"/>
    </xf>
    <xf numFmtId="17" fontId="2" fillId="4" borderId="0" xfId="0" applyNumberFormat="1" applyFont="1" applyFill="1" applyAlignment="1">
      <alignment horizontal="left"/>
    </xf>
    <xf numFmtId="0" fontId="2" fillId="2" borderId="0" xfId="0" applyFont="1" applyFill="1"/>
    <xf numFmtId="0" fontId="2" fillId="4" borderId="0" xfId="0" applyFont="1" applyFill="1" applyAlignment="1">
      <alignment horizontal="center"/>
    </xf>
    <xf numFmtId="3" fontId="5" fillId="0" borderId="2" xfId="0" applyNumberFormat="1" applyFont="1" applyBorder="1"/>
    <xf numFmtId="3" fontId="5" fillId="0" borderId="2" xfId="0" applyNumberFormat="1" applyFont="1" applyBorder="1" applyAlignment="1">
      <alignment horizontal="right"/>
    </xf>
    <xf numFmtId="0" fontId="7" fillId="2" borderId="0" xfId="0" applyFont="1" applyFill="1"/>
    <xf numFmtId="166" fontId="0" fillId="0" borderId="0" xfId="4" applyNumberFormat="1" applyFont="1"/>
    <xf numFmtId="0" fontId="2" fillId="5" borderId="0" xfId="0" applyFont="1" applyFill="1"/>
    <xf numFmtId="3" fontId="0" fillId="0" borderId="0" xfId="0" applyNumberFormat="1" applyBorder="1"/>
    <xf numFmtId="3" fontId="0" fillId="0" borderId="5" xfId="0" applyNumberFormat="1" applyBorder="1"/>
    <xf numFmtId="0" fontId="2" fillId="4" borderId="1" xfId="0" applyFont="1" applyFill="1" applyBorder="1" applyAlignment="1">
      <alignment horizontal="center"/>
    </xf>
    <xf numFmtId="17" fontId="2" fillId="4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left"/>
    </xf>
    <xf numFmtId="0" fontId="0" fillId="0" borderId="1" xfId="0" applyBorder="1"/>
    <xf numFmtId="3" fontId="6" fillId="0" borderId="1" xfId="0" applyNumberFormat="1" applyFont="1" applyBorder="1" applyAlignment="1">
      <alignment horizontal="center"/>
    </xf>
    <xf numFmtId="165" fontId="0" fillId="0" borderId="1" xfId="0" applyNumberFormat="1" applyBorder="1"/>
    <xf numFmtId="0" fontId="2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4" borderId="10" xfId="0" applyFont="1" applyFill="1" applyBorder="1" applyAlignment="1">
      <alignment horizontal="center"/>
    </xf>
    <xf numFmtId="17" fontId="2" fillId="4" borderId="11" xfId="0" applyNumberFormat="1" applyFont="1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3" fontId="6" fillId="0" borderId="11" xfId="0" applyNumberFormat="1" applyFon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left"/>
    </xf>
    <xf numFmtId="165" fontId="0" fillId="0" borderId="13" xfId="0" applyNumberFormat="1" applyBorder="1"/>
    <xf numFmtId="3" fontId="6" fillId="0" borderId="13" xfId="0" applyNumberFormat="1" applyFont="1" applyBorder="1" applyAlignment="1">
      <alignment horizontal="center"/>
    </xf>
    <xf numFmtId="3" fontId="6" fillId="0" borderId="14" xfId="0" applyNumberFormat="1" applyFont="1" applyBorder="1" applyAlignment="1">
      <alignment horizontal="center"/>
    </xf>
    <xf numFmtId="0" fontId="8" fillId="0" borderId="15" xfId="0" applyFont="1" applyBorder="1" applyAlignment="1">
      <alignment horizontal="left"/>
    </xf>
    <xf numFmtId="17" fontId="9" fillId="3" borderId="16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5" xfId="0" applyBorder="1"/>
    <xf numFmtId="9" fontId="6" fillId="0" borderId="17" xfId="0" applyNumberFormat="1" applyFont="1" applyBorder="1"/>
    <xf numFmtId="0" fontId="5" fillId="0" borderId="21" xfId="0" applyFont="1" applyBorder="1"/>
    <xf numFmtId="0" fontId="0" fillId="0" borderId="0" xfId="0" applyBorder="1"/>
    <xf numFmtId="0" fontId="0" fillId="0" borderId="22" xfId="0" applyBorder="1"/>
    <xf numFmtId="0" fontId="0" fillId="0" borderId="21" xfId="0" applyBorder="1"/>
    <xf numFmtId="0" fontId="6" fillId="0" borderId="0" xfId="0" applyFont="1" applyBorder="1"/>
    <xf numFmtId="0" fontId="6" fillId="0" borderId="22" xfId="0" applyFont="1" applyBorder="1"/>
    <xf numFmtId="3" fontId="0" fillId="0" borderId="0" xfId="0" applyNumberFormat="1" applyBorder="1" applyAlignment="1">
      <alignment horizontal="right"/>
    </xf>
    <xf numFmtId="3" fontId="0" fillId="0" borderId="22" xfId="0" applyNumberFormat="1" applyBorder="1" applyAlignment="1">
      <alignment horizontal="right"/>
    </xf>
    <xf numFmtId="9" fontId="6" fillId="0" borderId="0" xfId="0" applyNumberFormat="1" applyFont="1" applyBorder="1"/>
    <xf numFmtId="9" fontId="6" fillId="0" borderId="22" xfId="0" applyNumberFormat="1" applyFont="1" applyBorder="1"/>
    <xf numFmtId="9" fontId="0" fillId="0" borderId="0" xfId="0" applyNumberFormat="1" applyBorder="1"/>
    <xf numFmtId="166" fontId="6" fillId="0" borderId="0" xfId="0" applyNumberFormat="1" applyFont="1" applyBorder="1"/>
    <xf numFmtId="166" fontId="6" fillId="0" borderId="22" xfId="0" applyNumberFormat="1" applyFont="1" applyBorder="1"/>
    <xf numFmtId="0" fontId="0" fillId="0" borderId="23" xfId="0" applyBorder="1"/>
    <xf numFmtId="3" fontId="0" fillId="0" borderId="24" xfId="0" applyNumberFormat="1" applyBorder="1" applyAlignment="1">
      <alignment horizontal="right"/>
    </xf>
    <xf numFmtId="3" fontId="0" fillId="0" borderId="25" xfId="0" applyNumberFormat="1" applyBorder="1" applyAlignment="1">
      <alignment horizontal="right"/>
    </xf>
    <xf numFmtId="17" fontId="2" fillId="2" borderId="18" xfId="0" applyNumberFormat="1" applyFont="1" applyFill="1" applyBorder="1" applyAlignment="1">
      <alignment horizontal="left"/>
    </xf>
    <xf numFmtId="17" fontId="2" fillId="2" borderId="19" xfId="0" applyNumberFormat="1" applyFont="1" applyFill="1" applyBorder="1" applyAlignment="1">
      <alignment horizontal="center"/>
    </xf>
    <xf numFmtId="17" fontId="2" fillId="2" borderId="20" xfId="0" applyNumberFormat="1" applyFont="1" applyFill="1" applyBorder="1" applyAlignment="1">
      <alignment horizontal="center"/>
    </xf>
    <xf numFmtId="17" fontId="2" fillId="4" borderId="21" xfId="0" applyNumberFormat="1" applyFont="1" applyFill="1" applyBorder="1" applyAlignment="1">
      <alignment horizontal="left"/>
    </xf>
    <xf numFmtId="17" fontId="2" fillId="4" borderId="0" xfId="0" applyNumberFormat="1" applyFont="1" applyFill="1" applyBorder="1" applyAlignment="1">
      <alignment horizontal="center"/>
    </xf>
    <xf numFmtId="17" fontId="2" fillId="4" borderId="22" xfId="0" applyNumberFormat="1" applyFont="1" applyFill="1" applyBorder="1" applyAlignment="1">
      <alignment horizontal="center"/>
    </xf>
    <xf numFmtId="3" fontId="0" fillId="0" borderId="22" xfId="0" applyNumberFormat="1" applyBorder="1"/>
    <xf numFmtId="0" fontId="5" fillId="0" borderId="26" xfId="0" applyFont="1" applyBorder="1"/>
    <xf numFmtId="3" fontId="5" fillId="0" borderId="27" xfId="0" applyNumberFormat="1" applyFont="1" applyBorder="1"/>
    <xf numFmtId="3" fontId="0" fillId="0" borderId="0" xfId="0" applyNumberFormat="1" applyBorder="1" applyAlignment="1">
      <alignment horizontal="center"/>
    </xf>
    <xf numFmtId="0" fontId="5" fillId="0" borderId="0" xfId="0" applyFont="1" applyBorder="1"/>
    <xf numFmtId="0" fontId="5" fillId="0" borderId="22" xfId="0" applyFont="1" applyBorder="1"/>
    <xf numFmtId="0" fontId="0" fillId="0" borderId="21" xfId="0" applyBorder="1" applyAlignment="1">
      <alignment horizontal="left" indent="1"/>
    </xf>
    <xf numFmtId="3" fontId="5" fillId="0" borderId="27" xfId="0" applyNumberFormat="1" applyFont="1" applyBorder="1" applyAlignment="1">
      <alignment horizontal="right"/>
    </xf>
    <xf numFmtId="0" fontId="5" fillId="3" borderId="28" xfId="0" applyFont="1" applyFill="1" applyBorder="1"/>
    <xf numFmtId="3" fontId="5" fillId="3" borderId="29" xfId="0" applyNumberFormat="1" applyFont="1" applyFill="1" applyBorder="1"/>
    <xf numFmtId="3" fontId="5" fillId="3" borderId="30" xfId="0" applyNumberFormat="1" applyFont="1" applyFill="1" applyBorder="1"/>
    <xf numFmtId="0" fontId="0" fillId="0" borderId="6" xfId="0" applyBorder="1"/>
    <xf numFmtId="0" fontId="5" fillId="8" borderId="15" xfId="0" applyFont="1" applyFill="1" applyBorder="1"/>
    <xf numFmtId="0" fontId="5" fillId="3" borderId="16" xfId="0" applyFont="1" applyFill="1" applyBorder="1" applyAlignment="1">
      <alignment horizontal="center"/>
    </xf>
    <xf numFmtId="0" fontId="13" fillId="0" borderId="0" xfId="0" applyFont="1"/>
    <xf numFmtId="0" fontId="5" fillId="6" borderId="1" xfId="0" applyFont="1" applyFill="1" applyBorder="1"/>
    <xf numFmtId="0" fontId="13" fillId="0" borderId="1" xfId="0" applyFont="1" applyBorder="1"/>
    <xf numFmtId="0" fontId="14" fillId="0" borderId="1" xfId="0" applyFont="1" applyBorder="1"/>
    <xf numFmtId="0" fontId="15" fillId="0" borderId="21" xfId="0" applyFont="1" applyBorder="1"/>
    <xf numFmtId="0" fontId="15" fillId="0" borderId="23" xfId="0" applyFont="1" applyBorder="1"/>
    <xf numFmtId="3" fontId="0" fillId="8" borderId="11" xfId="0" applyNumberFormat="1" applyFont="1" applyFill="1" applyBorder="1"/>
    <xf numFmtId="9" fontId="0" fillId="8" borderId="11" xfId="0" applyNumberFormat="1" applyFont="1" applyFill="1" applyBorder="1"/>
    <xf numFmtId="9" fontId="0" fillId="8" borderId="14" xfId="0" applyNumberFormat="1" applyFont="1" applyFill="1" applyBorder="1"/>
    <xf numFmtId="0" fontId="16" fillId="9" borderId="15" xfId="0" applyFont="1" applyFill="1" applyBorder="1" applyAlignment="1">
      <alignment horizontal="center"/>
    </xf>
    <xf numFmtId="0" fontId="16" fillId="9" borderId="17" xfId="0" applyFont="1" applyFill="1" applyBorder="1" applyAlignment="1">
      <alignment horizontal="center"/>
    </xf>
    <xf numFmtId="0" fontId="17" fillId="6" borderId="7" xfId="0" applyFont="1" applyFill="1" applyBorder="1"/>
    <xf numFmtId="0" fontId="17" fillId="4" borderId="9" xfId="0" applyFont="1" applyFill="1" applyBorder="1"/>
    <xf numFmtId="0" fontId="2" fillId="7" borderId="1" xfId="0" applyFont="1" applyFill="1" applyBorder="1"/>
    <xf numFmtId="0" fontId="18" fillId="0" borderId="21" xfId="0" applyFont="1" applyBorder="1"/>
    <xf numFmtId="0" fontId="19" fillId="0" borderId="21" xfId="0" applyFont="1" applyBorder="1"/>
    <xf numFmtId="0" fontId="19" fillId="0" borderId="0" xfId="0" applyFont="1" applyBorder="1"/>
    <xf numFmtId="0" fontId="20" fillId="9" borderId="15" xfId="0" applyFont="1" applyFill="1" applyBorder="1"/>
    <xf numFmtId="0" fontId="7" fillId="9" borderId="17" xfId="0" applyFont="1" applyFill="1" applyBorder="1"/>
    <xf numFmtId="0" fontId="19" fillId="0" borderId="22" xfId="0" applyFont="1" applyBorder="1"/>
    <xf numFmtId="0" fontId="7" fillId="8" borderId="0" xfId="0" applyFont="1" applyFill="1" applyBorder="1"/>
    <xf numFmtId="0" fontId="21" fillId="8" borderId="21" xfId="0" applyFont="1" applyFill="1" applyBorder="1"/>
    <xf numFmtId="0" fontId="0" fillId="8" borderId="22" xfId="0" applyFill="1" applyBorder="1"/>
    <xf numFmtId="0" fontId="21" fillId="4" borderId="21" xfId="0" applyFont="1" applyFill="1" applyBorder="1"/>
    <xf numFmtId="0" fontId="0" fillId="4" borderId="22" xfId="0" applyFill="1" applyBorder="1"/>
    <xf numFmtId="0" fontId="19" fillId="0" borderId="23" xfId="0" applyFont="1" applyBorder="1"/>
    <xf numFmtId="0" fontId="19" fillId="0" borderId="25" xfId="0" applyFont="1" applyBorder="1"/>
    <xf numFmtId="9" fontId="0" fillId="6" borderId="31" xfId="0" applyNumberFormat="1" applyFill="1" applyBorder="1"/>
    <xf numFmtId="0" fontId="5" fillId="0" borderId="3" xfId="0" applyFont="1" applyBorder="1"/>
    <xf numFmtId="0" fontId="5" fillId="0" borderId="4" xfId="0" applyFont="1" applyBorder="1"/>
    <xf numFmtId="0" fontId="20" fillId="8" borderId="15" xfId="0" applyFont="1" applyFill="1" applyBorder="1"/>
    <xf numFmtId="0" fontId="7" fillId="8" borderId="17" xfId="0" applyFont="1" applyFill="1" applyBorder="1"/>
  </cellXfs>
  <cellStyles count="5">
    <cellStyle name="Hyperlink 2" xfId="2" xr:uid="{76C7EFDB-D734-E64A-BE2A-5F803D87771B}"/>
    <cellStyle name="Hyperlink 3" xfId="3" xr:uid="{292A2F43-B0A1-494A-A92B-F4FD9D356A3B}"/>
    <cellStyle name="Normal" xfId="0" builtinId="0"/>
    <cellStyle name="Normal 2" xfId="1" xr:uid="{1978511A-B413-FC40-B397-50C346EB00B3}"/>
    <cellStyle name="Percent" xfId="4" builtinId="5"/>
  </cellStyles>
  <dxfs count="0"/>
  <tableStyles count="0" defaultTableStyle="TableStyleMedium2" defaultPivotStyle="PivotStyleLight16"/>
  <colors>
    <mruColors>
      <color rgb="FF073673"/>
      <color rgb="FFFFFF99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Visuals!$B$3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73673"/>
            </a:solidFill>
            <a:ln>
              <a:noFill/>
            </a:ln>
            <a:effectLst/>
          </c:spPr>
          <c:invertIfNegative val="0"/>
          <c:cat>
            <c:numRef>
              <c:f>Visuals!$C$2:$N$2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Visuals!$C$3:$N$3</c:f>
              <c:numCache>
                <c:formatCode>#,##0</c:formatCode>
                <c:ptCount val="12"/>
                <c:pt idx="0">
                  <c:v>704180.23442602297</c:v>
                </c:pt>
                <c:pt idx="1">
                  <c:v>692929.60771983885</c:v>
                </c:pt>
                <c:pt idx="2">
                  <c:v>691959.43803690234</c:v>
                </c:pt>
                <c:pt idx="3">
                  <c:v>679763.25291914132</c:v>
                </c:pt>
                <c:pt idx="4">
                  <c:v>678648.9141906579</c:v>
                </c:pt>
                <c:pt idx="5">
                  <c:v>858383.71640513011</c:v>
                </c:pt>
                <c:pt idx="6">
                  <c:v>853625.71840850322</c:v>
                </c:pt>
                <c:pt idx="7">
                  <c:v>839720.16578143986</c:v>
                </c:pt>
                <c:pt idx="8">
                  <c:v>835441.18060011335</c:v>
                </c:pt>
                <c:pt idx="9">
                  <c:v>820872.26158066106</c:v>
                </c:pt>
                <c:pt idx="10">
                  <c:v>818945.66610204231</c:v>
                </c:pt>
                <c:pt idx="11">
                  <c:v>802948.18867890211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D-482D-BD2F-442FF2D99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5671215"/>
        <c:axId val="955671695"/>
      </c:barChart>
      <c:lineChart>
        <c:grouping val="standard"/>
        <c:varyColors val="0"/>
        <c:ser>
          <c:idx val="1"/>
          <c:order val="1"/>
          <c:tx>
            <c:strRef>
              <c:f>Visuals!$B$4</c:f>
              <c:strCache>
                <c:ptCount val="1"/>
                <c:pt idx="0">
                  <c:v>Profit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Visuals!$C$2:$N$2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Visuals!$C$4:$N$4</c:f>
              <c:numCache>
                <c:formatCode>0.0%</c:formatCode>
                <c:ptCount val="12"/>
                <c:pt idx="0">
                  <c:v>7.0987370994058677E-2</c:v>
                </c:pt>
                <c:pt idx="1">
                  <c:v>6.488184924480514E-2</c:v>
                </c:pt>
                <c:pt idx="2">
                  <c:v>6.1745302393107479E-2</c:v>
                </c:pt>
                <c:pt idx="3">
                  <c:v>5.5274818873861896E-2</c:v>
                </c:pt>
                <c:pt idx="4">
                  <c:v>5.2340612940446292E-2</c:v>
                </c:pt>
                <c:pt idx="5">
                  <c:v>0.1517410157401321</c:v>
                </c:pt>
                <c:pt idx="6">
                  <c:v>0.14767893373583252</c:v>
                </c:pt>
                <c:pt idx="7">
                  <c:v>0.14254166281320332</c:v>
                </c:pt>
                <c:pt idx="8">
                  <c:v>0.13947455010737139</c:v>
                </c:pt>
                <c:pt idx="9">
                  <c:v>0.1342397038362444</c:v>
                </c:pt>
                <c:pt idx="10">
                  <c:v>0.13108702732311084</c:v>
                </c:pt>
                <c:pt idx="11">
                  <c:v>0.12479711834987058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8D-482D-BD2F-442FF2D99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7442463"/>
        <c:axId val="607441503"/>
      </c:lineChart>
      <c:dateAx>
        <c:axId val="95567121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955671695"/>
        <c:crosses val="autoZero"/>
        <c:auto val="1"/>
        <c:lblOffset val="100"/>
        <c:baseTimeUnit val="months"/>
      </c:dateAx>
      <c:valAx>
        <c:axId val="95567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955671215"/>
        <c:crosses val="autoZero"/>
        <c:crossBetween val="between"/>
      </c:valAx>
      <c:valAx>
        <c:axId val="607441503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607442463"/>
        <c:crosses val="max"/>
        <c:crossBetween val="between"/>
      </c:valAx>
      <c:dateAx>
        <c:axId val="607442463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607441503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19878</xdr:colOff>
      <xdr:row>4</xdr:row>
      <xdr:rowOff>106018</xdr:rowOff>
    </xdr:from>
    <xdr:to>
      <xdr:col>14</xdr:col>
      <xdr:colOff>13252</xdr:colOff>
      <xdr:row>17</xdr:row>
      <xdr:rowOff>13253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E0168B-2FA6-CC51-98AF-CEF1DEE7C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61F39-9ED4-4621-A069-61315A9626F2}">
  <dimension ref="B1:H13"/>
  <sheetViews>
    <sheetView showGridLines="0" zoomScale="115" zoomScaleNormal="115" workbookViewId="0">
      <selection activeCell="C15" sqref="C15"/>
    </sheetView>
  </sheetViews>
  <sheetFormatPr baseColWidth="10" defaultColWidth="8.83203125" defaultRowHeight="16"/>
  <cols>
    <col min="1" max="1" width="2.6640625" customWidth="1"/>
    <col min="2" max="2" width="24" bestFit="1" customWidth="1"/>
    <col min="3" max="3" width="12" bestFit="1" customWidth="1"/>
    <col min="4" max="4" width="15.33203125" bestFit="1" customWidth="1"/>
  </cols>
  <sheetData>
    <row r="1" spans="2:8" ht="17" thickBot="1"/>
    <row r="2" spans="2:8" ht="30" thickBot="1">
      <c r="B2" s="32" t="s">
        <v>0</v>
      </c>
      <c r="C2" s="33">
        <v>45536</v>
      </c>
    </row>
    <row r="3" spans="2:8" ht="17" thickBot="1"/>
    <row r="4" spans="2:8">
      <c r="B4" s="20" t="s">
        <v>40</v>
      </c>
      <c r="C4" s="21"/>
      <c r="D4" s="21"/>
      <c r="E4" s="21"/>
      <c r="F4" s="21"/>
      <c r="G4" s="21"/>
      <c r="H4" s="22"/>
    </row>
    <row r="5" spans="2:8">
      <c r="B5" s="23" t="s">
        <v>1</v>
      </c>
      <c r="C5" s="14" t="s">
        <v>3</v>
      </c>
      <c r="D5" s="14" t="s">
        <v>2</v>
      </c>
      <c r="E5" s="15">
        <f>$C$2</f>
        <v>45536</v>
      </c>
      <c r="F5" s="15">
        <f>EDATE(E5,1)</f>
        <v>45566</v>
      </c>
      <c r="G5" s="15">
        <f>EDATE(F5,1)</f>
        <v>45597</v>
      </c>
      <c r="H5" s="24">
        <f>EDATE(G5,1)</f>
        <v>45627</v>
      </c>
    </row>
    <row r="6" spans="2:8">
      <c r="B6" s="25">
        <v>11256</v>
      </c>
      <c r="C6" s="16" t="s">
        <v>4</v>
      </c>
      <c r="D6" s="17" t="s">
        <v>8</v>
      </c>
      <c r="E6" s="18">
        <v>22992</v>
      </c>
      <c r="F6" s="18">
        <v>24001</v>
      </c>
      <c r="G6" s="18">
        <v>26558</v>
      </c>
      <c r="H6" s="26">
        <v>25446</v>
      </c>
    </row>
    <row r="7" spans="2:8">
      <c r="B7" s="25">
        <v>11257</v>
      </c>
      <c r="C7" s="16" t="s">
        <v>4</v>
      </c>
      <c r="D7" s="17" t="s">
        <v>9</v>
      </c>
      <c r="E7" s="18">
        <v>53326</v>
      </c>
      <c r="F7" s="18">
        <v>54223</v>
      </c>
      <c r="G7" s="18">
        <v>51000</v>
      </c>
      <c r="H7" s="26">
        <v>50000</v>
      </c>
    </row>
    <row r="8" spans="2:8">
      <c r="B8" s="25">
        <v>11259</v>
      </c>
      <c r="C8" s="16" t="s">
        <v>5</v>
      </c>
      <c r="D8" s="17" t="s">
        <v>10</v>
      </c>
      <c r="E8" s="18">
        <v>35888</v>
      </c>
      <c r="F8" s="18">
        <v>36880</v>
      </c>
      <c r="G8" s="18">
        <v>37995</v>
      </c>
      <c r="H8" s="26">
        <v>40000</v>
      </c>
    </row>
    <row r="9" spans="2:8">
      <c r="B9" s="25">
        <v>11260</v>
      </c>
      <c r="C9" s="16" t="s">
        <v>5</v>
      </c>
      <c r="D9" s="17" t="s">
        <v>11</v>
      </c>
      <c r="E9" s="18">
        <v>87942</v>
      </c>
      <c r="F9" s="18">
        <v>85224</v>
      </c>
      <c r="G9" s="18">
        <v>82469</v>
      </c>
      <c r="H9" s="26">
        <v>81005</v>
      </c>
    </row>
    <row r="10" spans="2:8">
      <c r="B10" s="25">
        <v>11263</v>
      </c>
      <c r="C10" s="16" t="s">
        <v>6</v>
      </c>
      <c r="D10" s="19" t="s">
        <v>14</v>
      </c>
      <c r="E10" s="18">
        <v>92622</v>
      </c>
      <c r="F10" s="18">
        <v>90005</v>
      </c>
      <c r="G10" s="18">
        <v>87556</v>
      </c>
      <c r="H10" s="26">
        <v>84522</v>
      </c>
    </row>
    <row r="11" spans="2:8">
      <c r="B11" s="25">
        <v>11264</v>
      </c>
      <c r="C11" s="16" t="s">
        <v>6</v>
      </c>
      <c r="D11" s="19" t="s">
        <v>15</v>
      </c>
      <c r="E11" s="18">
        <v>27416</v>
      </c>
      <c r="F11" s="18">
        <v>26554</v>
      </c>
      <c r="G11" s="18">
        <v>24330</v>
      </c>
      <c r="H11" s="26">
        <v>22338</v>
      </c>
    </row>
    <row r="12" spans="2:8">
      <c r="B12" s="25">
        <v>11267</v>
      </c>
      <c r="C12" s="16" t="s">
        <v>7</v>
      </c>
      <c r="D12" s="19" t="s">
        <v>12</v>
      </c>
      <c r="E12" s="18">
        <v>41696</v>
      </c>
      <c r="F12" s="18">
        <v>41696</v>
      </c>
      <c r="G12" s="18">
        <v>42558</v>
      </c>
      <c r="H12" s="26">
        <v>45448</v>
      </c>
    </row>
    <row r="13" spans="2:8" ht="17" thickBot="1">
      <c r="B13" s="27">
        <v>11268</v>
      </c>
      <c r="C13" s="28" t="s">
        <v>7</v>
      </c>
      <c r="D13" s="29" t="s">
        <v>13</v>
      </c>
      <c r="E13" s="30">
        <v>60285</v>
      </c>
      <c r="F13" s="30">
        <v>61225</v>
      </c>
      <c r="G13" s="30">
        <v>68994</v>
      </c>
      <c r="H13" s="31">
        <v>72410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45C7-3FC9-4A46-B73D-ABCCA96878D6}">
  <dimension ref="A1:W53"/>
  <sheetViews>
    <sheetView showGridLines="0" zoomScale="115" zoomScaleNormal="115" workbookViewId="0">
      <selection activeCell="F3" sqref="F3"/>
    </sheetView>
  </sheetViews>
  <sheetFormatPr baseColWidth="10" defaultColWidth="11.1640625" defaultRowHeight="16"/>
  <cols>
    <col min="1" max="1" width="2.33203125" customWidth="1"/>
    <col min="2" max="2" width="12.1640625" customWidth="1"/>
    <col min="5" max="20" width="8.6640625" customWidth="1"/>
    <col min="23" max="23" width="113.33203125" bestFit="1" customWidth="1"/>
  </cols>
  <sheetData>
    <row r="1" spans="2:23" ht="17" thickBot="1"/>
    <row r="2" spans="2:23">
      <c r="B2" s="101" t="s">
        <v>42</v>
      </c>
      <c r="C2" s="100">
        <v>0.3</v>
      </c>
      <c r="V2" s="74" t="s">
        <v>48</v>
      </c>
      <c r="W2" s="86" t="s">
        <v>49</v>
      </c>
    </row>
    <row r="3" spans="2:23" ht="17" thickBot="1">
      <c r="B3" s="102" t="s">
        <v>43</v>
      </c>
      <c r="C3" s="100">
        <v>0.15</v>
      </c>
      <c r="V3" s="75" t="s">
        <v>50</v>
      </c>
      <c r="W3" s="76" t="s">
        <v>54</v>
      </c>
    </row>
    <row r="4" spans="2:23">
      <c r="V4" s="75" t="s">
        <v>51</v>
      </c>
      <c r="W4" s="76" t="s">
        <v>54</v>
      </c>
    </row>
    <row r="5" spans="2:23">
      <c r="B5" s="34" t="s">
        <v>45</v>
      </c>
      <c r="C5" s="34"/>
      <c r="D5" s="34"/>
      <c r="E5" s="11" t="s">
        <v>16</v>
      </c>
      <c r="F5" s="11"/>
      <c r="G5" s="11"/>
      <c r="H5" s="11"/>
      <c r="I5" s="5" t="s">
        <v>17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V5" s="75" t="s">
        <v>52</v>
      </c>
      <c r="W5" s="76" t="s">
        <v>55</v>
      </c>
    </row>
    <row r="6" spans="2:23">
      <c r="B6" s="6" t="str">
        <f>B20</f>
        <v>Account #</v>
      </c>
      <c r="C6" s="6" t="str">
        <f t="shared" ref="C6:D6" si="0">C20</f>
        <v>Department</v>
      </c>
      <c r="D6" s="6" t="str">
        <f t="shared" si="0"/>
        <v>Description</v>
      </c>
      <c r="E6" s="3">
        <f>E20</f>
        <v>45536</v>
      </c>
      <c r="F6" s="3">
        <f t="shared" ref="F6:H6" si="1">F20</f>
        <v>45566</v>
      </c>
      <c r="G6" s="3">
        <f t="shared" si="1"/>
        <v>45597</v>
      </c>
      <c r="H6" s="3">
        <f t="shared" si="1"/>
        <v>45627</v>
      </c>
      <c r="I6" s="3">
        <f>EDATE(H6,1)</f>
        <v>45658</v>
      </c>
      <c r="J6" s="3">
        <f t="shared" ref="J6:T6" si="2">EDATE(I6,1)</f>
        <v>45689</v>
      </c>
      <c r="K6" s="3">
        <f t="shared" si="2"/>
        <v>45717</v>
      </c>
      <c r="L6" s="3">
        <f t="shared" si="2"/>
        <v>45748</v>
      </c>
      <c r="M6" s="3">
        <f t="shared" si="2"/>
        <v>45778</v>
      </c>
      <c r="N6" s="3">
        <f t="shared" si="2"/>
        <v>45809</v>
      </c>
      <c r="O6" s="3">
        <f t="shared" si="2"/>
        <v>45839</v>
      </c>
      <c r="P6" s="3">
        <f t="shared" si="2"/>
        <v>45870</v>
      </c>
      <c r="Q6" s="3">
        <f t="shared" si="2"/>
        <v>45901</v>
      </c>
      <c r="R6" s="3">
        <f t="shared" si="2"/>
        <v>45931</v>
      </c>
      <c r="S6" s="3">
        <f t="shared" si="2"/>
        <v>45962</v>
      </c>
      <c r="T6" s="3">
        <f t="shared" si="2"/>
        <v>45992</v>
      </c>
      <c r="V6" s="75" t="s">
        <v>53</v>
      </c>
      <c r="W6" s="17" t="s">
        <v>56</v>
      </c>
    </row>
    <row r="7" spans="2:23">
      <c r="B7" s="6">
        <f t="shared" ref="B7:H14" si="3">B21</f>
        <v>11256</v>
      </c>
      <c r="C7" s="6" t="str">
        <f t="shared" si="3"/>
        <v>Marketing</v>
      </c>
      <c r="D7" s="6" t="str">
        <f t="shared" si="3"/>
        <v>Paid Ads</v>
      </c>
      <c r="E7" s="6">
        <f t="shared" si="3"/>
        <v>22992</v>
      </c>
      <c r="F7" s="6">
        <f t="shared" si="3"/>
        <v>24001</v>
      </c>
      <c r="G7" s="6">
        <f t="shared" si="3"/>
        <v>26558</v>
      </c>
      <c r="H7" s="6">
        <f t="shared" si="3"/>
        <v>25446</v>
      </c>
      <c r="I7" s="1">
        <f>CHOOSE('Income Statement'!$C$2,Forecast!I21,Forecast!I32,Forecast!I43)</f>
        <v>26859.76114072718</v>
      </c>
      <c r="J7" s="1">
        <f>CHOOSE('Income Statement'!$C$2,Forecast!J21,Forecast!J32,Forecast!J43)</f>
        <v>26922.593568760843</v>
      </c>
      <c r="K7" s="1">
        <f>CHOOSE('Income Statement'!$C$2,Forecast!K21,Forecast!K32,Forecast!K43)</f>
        <v>28560.219908935931</v>
      </c>
      <c r="L7" s="1">
        <f>CHOOSE('Income Statement'!$C$2,Forecast!L21,Forecast!L32,Forecast!L43)</f>
        <v>28501.43193285961</v>
      </c>
      <c r="M7" s="1">
        <f>CHOOSE('Income Statement'!$C$2,Forecast!M21,Forecast!M32,Forecast!M43)</f>
        <v>30101.347009231198</v>
      </c>
      <c r="N7" s="1">
        <f>CHOOSE('Income Statement'!$C$2,Forecast!N21,Forecast!N32,Forecast!N43)</f>
        <v>30111.719199725641</v>
      </c>
      <c r="O7" s="1">
        <f>CHOOSE('Income Statement'!$C$2,Forecast!O21,Forecast!O32,Forecast!O43)</f>
        <v>31672.189468797595</v>
      </c>
      <c r="P7" s="1">
        <f>CHOOSE('Income Statement'!$C$2,Forecast!P21,Forecast!P32,Forecast!P43)</f>
        <v>31683.438885965574</v>
      </c>
      <c r="Q7" s="1">
        <f>CHOOSE('Income Statement'!$C$2,Forecast!Q21,Forecast!Q32,Forecast!Q43)</f>
        <v>33240.958001217623</v>
      </c>
      <c r="R7" s="1">
        <f>CHOOSE('Income Statement'!$C$2,Forecast!R21,Forecast!R32,Forecast!R43)</f>
        <v>33250.813004448624</v>
      </c>
      <c r="S7" s="1">
        <f>CHOOSE('Income Statement'!$C$2,Forecast!S21,Forecast!S32,Forecast!S43)</f>
        <v>34807.508552965461</v>
      </c>
      <c r="T7" s="1">
        <f>CHOOSE('Income Statement'!$C$2,Forecast!T21,Forecast!T32,Forecast!T43)</f>
        <v>34816.870479844321</v>
      </c>
    </row>
    <row r="8" spans="2:23">
      <c r="B8" s="6">
        <f t="shared" si="3"/>
        <v>11257</v>
      </c>
      <c r="C8" s="6" t="str">
        <f t="shared" si="3"/>
        <v>Marketing</v>
      </c>
      <c r="D8" s="6" t="str">
        <f t="shared" si="3"/>
        <v>Infuencers</v>
      </c>
      <c r="E8" s="6">
        <f t="shared" si="3"/>
        <v>53326</v>
      </c>
      <c r="F8" s="6">
        <f t="shared" si="3"/>
        <v>54223</v>
      </c>
      <c r="G8" s="6">
        <f t="shared" si="3"/>
        <v>51000</v>
      </c>
      <c r="H8" s="6">
        <f t="shared" si="3"/>
        <v>50000</v>
      </c>
      <c r="I8" s="1">
        <f>CHOOSE('Income Statement'!$C$2,Forecast!I22,Forecast!I33,Forecast!I44)</f>
        <v>48858.543636264534</v>
      </c>
      <c r="J8" s="1">
        <f>CHOOSE('Income Statement'!$C$2,Forecast!J22,Forecast!J33,Forecast!J44)</f>
        <v>47585.966401114296</v>
      </c>
      <c r="K8" s="1">
        <f>CHOOSE('Income Statement'!$C$2,Forecast!K22,Forecast!K33,Forecast!K44)</f>
        <v>45844.020740193344</v>
      </c>
      <c r="L8" s="1">
        <f>CHOOSE('Income Statement'!$C$2,Forecast!L22,Forecast!L33,Forecast!L44)</f>
        <v>44591.390961671706</v>
      </c>
      <c r="M8" s="1">
        <f>CHOOSE('Income Statement'!$C$2,Forecast!M22,Forecast!M33,Forecast!M44)</f>
        <v>42871.654516645998</v>
      </c>
      <c r="N8" s="1">
        <f>CHOOSE('Income Statement'!$C$2,Forecast!N22,Forecast!N33,Forecast!N44)</f>
        <v>41659.494546522692</v>
      </c>
      <c r="O8" s="1">
        <f>CHOOSE('Income Statement'!$C$2,Forecast!O22,Forecast!O33,Forecast!O44)</f>
        <v>39701.198358000329</v>
      </c>
      <c r="P8" s="1">
        <f>CHOOSE('Income Statement'!$C$2,Forecast!P22,Forecast!P33,Forecast!P44)</f>
        <v>38527.277316495951</v>
      </c>
      <c r="Q8" s="1">
        <f>CHOOSE('Income Statement'!$C$2,Forecast!Q22,Forecast!Q33,Forecast!Q44)</f>
        <v>36611.983520530979</v>
      </c>
      <c r="R8" s="1">
        <f>CHOOSE('Income Statement'!$C$2,Forecast!R22,Forecast!R33,Forecast!R44)</f>
        <v>35383.991475539748</v>
      </c>
      <c r="S8" s="1">
        <f>CHOOSE('Income Statement'!$C$2,Forecast!S22,Forecast!S33,Forecast!S44)</f>
        <v>33666.209348543103</v>
      </c>
      <c r="T8" s="1">
        <f>CHOOSE('Income Statement'!$C$2,Forecast!T22,Forecast!T33,Forecast!T44)</f>
        <v>32319.265697321396</v>
      </c>
    </row>
    <row r="9" spans="2:23">
      <c r="B9" s="6">
        <f t="shared" si="3"/>
        <v>11259</v>
      </c>
      <c r="C9" s="6" t="str">
        <f t="shared" si="3"/>
        <v>Engineering</v>
      </c>
      <c r="D9" s="6" t="str">
        <f t="shared" si="3"/>
        <v>Consulting</v>
      </c>
      <c r="E9" s="6">
        <f t="shared" si="3"/>
        <v>35888</v>
      </c>
      <c r="F9" s="6">
        <f t="shared" si="3"/>
        <v>36880</v>
      </c>
      <c r="G9" s="6">
        <f t="shared" si="3"/>
        <v>37995</v>
      </c>
      <c r="H9" s="6">
        <f t="shared" si="3"/>
        <v>40000</v>
      </c>
      <c r="I9" s="1">
        <f>CHOOSE('Income Statement'!$C$2,Forecast!I23,Forecast!I34,Forecast!I45)</f>
        <v>41183.971201358247</v>
      </c>
      <c r="J9" s="1">
        <f>CHOOSE('Income Statement'!$C$2,Forecast!J23,Forecast!J34,Forecast!J45)</f>
        <v>42613.671663537316</v>
      </c>
      <c r="K9" s="1">
        <f>CHOOSE('Income Statement'!$C$2,Forecast!K23,Forecast!K34,Forecast!K45)</f>
        <v>44036.167863863549</v>
      </c>
      <c r="L9" s="1">
        <f>CHOOSE('Income Statement'!$C$2,Forecast!L23,Forecast!L34,Forecast!L45)</f>
        <v>45413.911842965106</v>
      </c>
      <c r="M9" s="1">
        <f>CHOOSE('Income Statement'!$C$2,Forecast!M23,Forecast!M34,Forecast!M45)</f>
        <v>46814.567474384923</v>
      </c>
      <c r="N9" s="1">
        <f>CHOOSE('Income Statement'!$C$2,Forecast!N23,Forecast!N34,Forecast!N45)</f>
        <v>48215.310791421689</v>
      </c>
      <c r="O9" s="1">
        <f>CHOOSE('Income Statement'!$C$2,Forecast!O23,Forecast!O34,Forecast!O45)</f>
        <v>49616.147650724932</v>
      </c>
      <c r="P9" s="1">
        <f>CHOOSE('Income Statement'!$C$2,Forecast!P23,Forecast!P34,Forecast!P45)</f>
        <v>51017.051728752886</v>
      </c>
      <c r="Q9" s="1">
        <f>CHOOSE('Income Statement'!$C$2,Forecast!Q23,Forecast!Q34,Forecast!Q45)</f>
        <v>52417.99544853883</v>
      </c>
      <c r="R9" s="1">
        <f>CHOOSE('Income Statement'!$C$2,Forecast!R23,Forecast!R34,Forecast!R45)</f>
        <v>53818.957103207329</v>
      </c>
      <c r="S9" s="1">
        <f>CHOOSE('Income Statement'!$C$2,Forecast!S23,Forecast!S34,Forecast!S45)</f>
        <v>55219.921179946665</v>
      </c>
      <c r="T9" s="1">
        <f>CHOOSE('Income Statement'!$C$2,Forecast!T23,Forecast!T34,Forecast!T45)</f>
        <v>56620.877094019284</v>
      </c>
    </row>
    <row r="10" spans="2:23">
      <c r="B10" s="6">
        <f t="shared" si="3"/>
        <v>11260</v>
      </c>
      <c r="C10" s="6" t="str">
        <f t="shared" si="3"/>
        <v>Engineering</v>
      </c>
      <c r="D10" s="6" t="str">
        <f t="shared" si="3"/>
        <v>Travel</v>
      </c>
      <c r="E10" s="6">
        <f t="shared" si="3"/>
        <v>87942</v>
      </c>
      <c r="F10" s="6">
        <f t="shared" si="3"/>
        <v>85224</v>
      </c>
      <c r="G10" s="6">
        <f t="shared" si="3"/>
        <v>82469</v>
      </c>
      <c r="H10" s="6">
        <f t="shared" si="3"/>
        <v>81005</v>
      </c>
      <c r="I10" s="1">
        <f>CHOOSE('Income Statement'!$C$2,Forecast!I24,Forecast!I35,Forecast!I46)</f>
        <v>78427.891551870402</v>
      </c>
      <c r="J10" s="1">
        <f>CHOOSE('Income Statement'!$C$2,Forecast!J24,Forecast!J35,Forecast!J46)</f>
        <v>76178.043433908766</v>
      </c>
      <c r="K10" s="1">
        <f>CHOOSE('Income Statement'!$C$2,Forecast!K24,Forecast!K35,Forecast!K46)</f>
        <v>73912.46503670323</v>
      </c>
      <c r="L10" s="1">
        <f>CHOOSE('Income Statement'!$C$2,Forecast!L24,Forecast!L35,Forecast!L46)</f>
        <v>71611.910305970319</v>
      </c>
      <c r="M10" s="1">
        <f>CHOOSE('Income Statement'!$C$2,Forecast!M24,Forecast!M35,Forecast!M46)</f>
        <v>69331.893003484322</v>
      </c>
      <c r="N10" s="1">
        <f>CHOOSE('Income Statement'!$C$2,Forecast!N24,Forecast!N35,Forecast!N46)</f>
        <v>67050.574891618191</v>
      </c>
      <c r="O10" s="1">
        <f>CHOOSE('Income Statement'!$C$2,Forecast!O24,Forecast!O35,Forecast!O46)</f>
        <v>64768.400572645376</v>
      </c>
      <c r="P10" s="1">
        <f>CHOOSE('Income Statement'!$C$2,Forecast!P24,Forecast!P35,Forecast!P46)</f>
        <v>62480.728984662957</v>
      </c>
      <c r="Q10" s="1">
        <f>CHOOSE('Income Statement'!$C$2,Forecast!Q24,Forecast!Q35,Forecast!Q46)</f>
        <v>60196.664077393398</v>
      </c>
      <c r="R10" s="1">
        <f>CHOOSE('Income Statement'!$C$2,Forecast!R24,Forecast!R35,Forecast!R46)</f>
        <v>57912.678103935665</v>
      </c>
      <c r="S10" s="1">
        <f>CHOOSE('Income Statement'!$C$2,Forecast!S24,Forecast!S35,Forecast!S46)</f>
        <v>55628.736825287509</v>
      </c>
      <c r="T10" s="1">
        <f>CHOOSE('Income Statement'!$C$2,Forecast!T24,Forecast!T35,Forecast!T46)</f>
        <v>53344.816264503774</v>
      </c>
    </row>
    <row r="11" spans="2:23">
      <c r="B11" s="6">
        <f t="shared" si="3"/>
        <v>11263</v>
      </c>
      <c r="C11" s="6" t="str">
        <f t="shared" si="3"/>
        <v>Support</v>
      </c>
      <c r="D11" s="6" t="str">
        <f t="shared" si="3"/>
        <v>Software</v>
      </c>
      <c r="E11" s="6">
        <f t="shared" si="3"/>
        <v>92622</v>
      </c>
      <c r="F11" s="6">
        <f t="shared" si="3"/>
        <v>90005</v>
      </c>
      <c r="G11" s="6">
        <f t="shared" si="3"/>
        <v>87556</v>
      </c>
      <c r="H11" s="6">
        <f t="shared" si="3"/>
        <v>84522</v>
      </c>
      <c r="I11" s="1">
        <f>CHOOSE('Income Statement'!$C$2,Forecast!I25,Forecast!I36,Forecast!I47)</f>
        <v>81916.876517986253</v>
      </c>
      <c r="J11" s="1">
        <f>CHOOSE('Income Statement'!$C$2,Forecast!J25,Forecast!J36,Forecast!J47)</f>
        <v>79206.407798523505</v>
      </c>
      <c r="K11" s="1">
        <f>CHOOSE('Income Statement'!$C$2,Forecast!K25,Forecast!K36,Forecast!K47)</f>
        <v>76483.449900994485</v>
      </c>
      <c r="L11" s="1">
        <f>CHOOSE('Income Statement'!$C$2,Forecast!L25,Forecast!L36,Forecast!L47)</f>
        <v>73792.487928073344</v>
      </c>
      <c r="M11" s="1">
        <f>CHOOSE('Income Statement'!$C$2,Forecast!M25,Forecast!M36,Forecast!M47)</f>
        <v>71086.197541592934</v>
      </c>
      <c r="N11" s="1">
        <f>CHOOSE('Income Statement'!$C$2,Forecast!N25,Forecast!N36,Forecast!N47)</f>
        <v>68267.760676605714</v>
      </c>
      <c r="O11" s="1">
        <f>CHOOSE('Income Statement'!$C$2,Forecast!O25,Forecast!O36,Forecast!O47)</f>
        <v>65623.680287821815</v>
      </c>
      <c r="P11" s="1">
        <f>CHOOSE('Income Statement'!$C$2,Forecast!P25,Forecast!P36,Forecast!P47)</f>
        <v>62955.10938603519</v>
      </c>
      <c r="Q11" s="1">
        <f>CHOOSE('Income Statement'!$C$2,Forecast!Q25,Forecast!Q36,Forecast!Q47)</f>
        <v>60216.206521543558</v>
      </c>
      <c r="R11" s="1">
        <f>CHOOSE('Income Statement'!$C$2,Forecast!R25,Forecast!R36,Forecast!R47)</f>
        <v>57505.992999262417</v>
      </c>
      <c r="S11" s="1">
        <f>CHOOSE('Income Statement'!$C$2,Forecast!S25,Forecast!S36,Forecast!S47)</f>
        <v>54795.850819817926</v>
      </c>
      <c r="T11" s="1">
        <f>CHOOSE('Income Statement'!$C$2,Forecast!T25,Forecast!T36,Forecast!T47)</f>
        <v>51987.349634165374</v>
      </c>
    </row>
    <row r="12" spans="2:23">
      <c r="B12" s="6">
        <f t="shared" si="3"/>
        <v>11264</v>
      </c>
      <c r="C12" s="6" t="str">
        <f t="shared" si="3"/>
        <v>Support</v>
      </c>
      <c r="D12" s="6" t="str">
        <f t="shared" si="3"/>
        <v>Call Center</v>
      </c>
      <c r="E12" s="6">
        <f t="shared" si="3"/>
        <v>27416</v>
      </c>
      <c r="F12" s="6">
        <f t="shared" si="3"/>
        <v>26554</v>
      </c>
      <c r="G12" s="6">
        <f t="shared" si="3"/>
        <v>24330</v>
      </c>
      <c r="H12" s="6">
        <f t="shared" si="3"/>
        <v>22338</v>
      </c>
      <c r="I12" s="1">
        <f>CHOOSE('Income Statement'!$C$2,Forecast!I26,Forecast!I37,Forecast!I48)</f>
        <v>20784.676716073132</v>
      </c>
      <c r="J12" s="1">
        <f>CHOOSE('Income Statement'!$C$2,Forecast!J26,Forecast!J37,Forecast!J48)</f>
        <v>18966.367329335342</v>
      </c>
      <c r="K12" s="1">
        <f>CHOOSE('Income Statement'!$C$2,Forecast!K26,Forecast!K37,Forecast!K48)</f>
        <v>17138.76514187401</v>
      </c>
      <c r="L12" s="1">
        <f>CHOOSE('Income Statement'!$C$2,Forecast!L26,Forecast!L37,Forecast!L48)</f>
        <v>15398.473034721901</v>
      </c>
      <c r="M12" s="1">
        <f>CHOOSE('Income Statement'!$C$2,Forecast!M26,Forecast!M37,Forecast!M48)</f>
        <v>13625.108196978312</v>
      </c>
      <c r="N12" s="1">
        <f>CHOOSE('Income Statement'!$C$2,Forecast!N26,Forecast!N37,Forecast!N48)</f>
        <v>11459.690736972156</v>
      </c>
      <c r="O12" s="1">
        <f>CHOOSE('Income Statement'!$C$2,Forecast!O26,Forecast!O37,Forecast!O48)</f>
        <v>10235.713818413371</v>
      </c>
      <c r="P12" s="1">
        <f>CHOOSE('Income Statement'!$C$2,Forecast!P26,Forecast!P37,Forecast!P48)</f>
        <v>8271.2763181428709</v>
      </c>
      <c r="Q12" s="1">
        <f>CHOOSE('Income Statement'!$C$2,Forecast!Q26,Forecast!Q37,Forecast!Q48)</f>
        <v>6108.360191654755</v>
      </c>
      <c r="R12" s="1">
        <f>CHOOSE('Income Statement'!$C$2,Forecast!R26,Forecast!R37,Forecast!R48)</f>
        <v>4830.7593279369239</v>
      </c>
      <c r="S12" s="1">
        <f>CHOOSE('Income Statement'!$C$2,Forecast!S26,Forecast!S37,Forecast!S48)</f>
        <v>2887.1373473223803</v>
      </c>
      <c r="T12" s="1">
        <f>CHOOSE('Income Statement'!$C$2,Forecast!T26,Forecast!T37,Forecast!T48)</f>
        <v>825.90661841332144</v>
      </c>
    </row>
    <row r="13" spans="2:23">
      <c r="B13" s="6">
        <f t="shared" si="3"/>
        <v>11267</v>
      </c>
      <c r="C13" s="6" t="str">
        <f t="shared" si="3"/>
        <v>HR</v>
      </c>
      <c r="D13" s="6" t="str">
        <f t="shared" si="3"/>
        <v>Recruiting Events</v>
      </c>
      <c r="E13" s="6">
        <f t="shared" si="3"/>
        <v>41696</v>
      </c>
      <c r="F13" s="6">
        <f t="shared" si="3"/>
        <v>41696</v>
      </c>
      <c r="G13" s="6">
        <f t="shared" si="3"/>
        <v>42558</v>
      </c>
      <c r="H13" s="6">
        <f t="shared" si="3"/>
        <v>45448</v>
      </c>
      <c r="I13" s="1">
        <f>CHOOSE('Income Statement'!$C$2,Forecast!I27,Forecast!I38,Forecast!I49)</f>
        <v>46256.946961125286</v>
      </c>
      <c r="J13" s="1">
        <f>CHOOSE('Income Statement'!$C$2,Forecast!J27,Forecast!J38,Forecast!J49)</f>
        <v>47704.637988354101</v>
      </c>
      <c r="K13" s="1">
        <f>CHOOSE('Income Statement'!$C$2,Forecast!K27,Forecast!K38,Forecast!K49)</f>
        <v>49150.17146376762</v>
      </c>
      <c r="L13" s="1">
        <f>CHOOSE('Income Statement'!$C$2,Forecast!L27,Forecast!L38,Forecast!L49)</f>
        <v>50452.328668162765</v>
      </c>
      <c r="M13" s="1">
        <f>CHOOSE('Income Statement'!$C$2,Forecast!M27,Forecast!M38,Forecast!M49)</f>
        <v>51824.34271783955</v>
      </c>
      <c r="N13" s="1">
        <f>CHOOSE('Income Statement'!$C$2,Forecast!N27,Forecast!N38,Forecast!N49)</f>
        <v>53196.599428618836</v>
      </c>
      <c r="O13" s="1">
        <f>CHOOSE('Income Statement'!$C$2,Forecast!O27,Forecast!O38,Forecast!O49)</f>
        <v>54569.117070491142</v>
      </c>
      <c r="P13" s="1">
        <f>CHOOSE('Income Statement'!$C$2,Forecast!P27,Forecast!P38,Forecast!P49)</f>
        <v>55941.820354912226</v>
      </c>
      <c r="Q13" s="1">
        <f>CHOOSE('Income Statement'!$C$2,Forecast!Q27,Forecast!Q38,Forecast!Q49)</f>
        <v>57314.630177163723</v>
      </c>
      <c r="R13" s="1">
        <f>CHOOSE('Income Statement'!$C$2,Forecast!R27,Forecast!R38,Forecast!R49)</f>
        <v>58687.484315531168</v>
      </c>
      <c r="S13" s="1">
        <f>CHOOSE('Income Statement'!$C$2,Forecast!S27,Forecast!S38,Forecast!S49)</f>
        <v>60060.338401168861</v>
      </c>
      <c r="T13" s="1">
        <f>CHOOSE('Income Statement'!$C$2,Forecast!T27,Forecast!T38,Forecast!T49)</f>
        <v>61433.162269303619</v>
      </c>
    </row>
    <row r="14" spans="2:23">
      <c r="B14" s="6">
        <f t="shared" si="3"/>
        <v>11268</v>
      </c>
      <c r="C14" s="6" t="str">
        <f t="shared" si="3"/>
        <v>HR</v>
      </c>
      <c r="D14" s="6" t="str">
        <f t="shared" si="3"/>
        <v>Meetups</v>
      </c>
      <c r="E14" s="6">
        <f t="shared" si="3"/>
        <v>60285</v>
      </c>
      <c r="F14" s="6">
        <f t="shared" si="3"/>
        <v>61225</v>
      </c>
      <c r="G14" s="6">
        <f t="shared" si="3"/>
        <v>68994</v>
      </c>
      <c r="H14" s="6">
        <f t="shared" si="3"/>
        <v>72410</v>
      </c>
      <c r="I14" s="1">
        <f>CHOOSE('Income Statement'!$C$2,Forecast!I28,Forecast!I39,Forecast!I50)</f>
        <v>76705.606550771539</v>
      </c>
      <c r="J14" s="1">
        <f>CHOOSE('Income Statement'!$C$2,Forecast!J28,Forecast!J39,Forecast!J50)</f>
        <v>80731.326035333477</v>
      </c>
      <c r="K14" s="1">
        <f>CHOOSE('Income Statement'!$C$2,Forecast!K28,Forecast!K39,Forecast!K50)</f>
        <v>87089.65779041838</v>
      </c>
      <c r="L14" s="1">
        <f>CHOOSE('Income Statement'!$C$2,Forecast!L28,Forecast!L39,Forecast!L50)</f>
        <v>90875.730395796971</v>
      </c>
      <c r="M14" s="1">
        <f>CHOOSE('Income Statement'!$C$2,Forecast!M28,Forecast!M39,Forecast!M50)</f>
        <v>96948.062430063554</v>
      </c>
      <c r="N14" s="1">
        <f>CHOOSE('Income Statement'!$C$2,Forecast!N28,Forecast!N39,Forecast!N50)</f>
        <v>100800.21730959584</v>
      </c>
      <c r="O14" s="1">
        <f>CHOOSE('Income Statement'!$C$2,Forecast!O28,Forecast!O39,Forecast!O50)</f>
        <v>106865.98156559149</v>
      </c>
      <c r="P14" s="1">
        <f>CHOOSE('Income Statement'!$C$2,Forecast!P28,Forecast!P39,Forecast!P50)</f>
        <v>111036.0335243259</v>
      </c>
      <c r="Q14" s="1">
        <f>CHOOSE('Income Statement'!$C$2,Forecast!Q28,Forecast!Q39,Forecast!Q50)</f>
        <v>117072.50922037291</v>
      </c>
      <c r="R14" s="1">
        <f>CHOOSE('Income Statement'!$C$2,Forecast!R28,Forecast!R39,Forecast!R50)</f>
        <v>120138.49910544444</v>
      </c>
      <c r="S14" s="1">
        <f>CHOOSE('Income Statement'!$C$2,Forecast!S28,Forecast!S39,Forecast!S50)</f>
        <v>126916.63408933014</v>
      </c>
      <c r="T14" s="1">
        <f>CHOOSE('Income Statement'!$C$2,Forecast!T28,Forecast!T39,Forecast!T50)</f>
        <v>131085.87909406843</v>
      </c>
    </row>
    <row r="19" spans="1:20">
      <c r="B19" s="34" t="s">
        <v>46</v>
      </c>
      <c r="C19" s="34"/>
      <c r="D19" s="34"/>
      <c r="E19" s="11" t="s">
        <v>16</v>
      </c>
      <c r="F19" s="11"/>
      <c r="G19" s="11"/>
      <c r="H19" s="11"/>
      <c r="I19" s="5" t="s">
        <v>17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>
      <c r="A20" t="s">
        <v>31</v>
      </c>
      <c r="B20" s="6" t="str">
        <f>'Actual Expenses'!B5</f>
        <v>Account #</v>
      </c>
      <c r="C20" s="6" t="str">
        <f>'Actual Expenses'!C5</f>
        <v>Department</v>
      </c>
      <c r="D20" s="6" t="str">
        <f>'Actual Expenses'!D5</f>
        <v>Description</v>
      </c>
      <c r="E20" s="3">
        <f>'Actual Expenses'!E5</f>
        <v>45536</v>
      </c>
      <c r="F20" s="3">
        <f>'Actual Expenses'!F5</f>
        <v>45566</v>
      </c>
      <c r="G20" s="3">
        <f>'Actual Expenses'!G5</f>
        <v>45597</v>
      </c>
      <c r="H20" s="3">
        <f>'Actual Expenses'!H5</f>
        <v>45627</v>
      </c>
      <c r="I20" s="3">
        <f>EDATE(H20,1)</f>
        <v>45658</v>
      </c>
      <c r="J20" s="3">
        <f t="shared" ref="J20:T20" si="4">EDATE(I20,1)</f>
        <v>45689</v>
      </c>
      <c r="K20" s="3">
        <f t="shared" si="4"/>
        <v>45717</v>
      </c>
      <c r="L20" s="3">
        <f t="shared" si="4"/>
        <v>45748</v>
      </c>
      <c r="M20" s="3">
        <f t="shared" si="4"/>
        <v>45778</v>
      </c>
      <c r="N20" s="3">
        <f t="shared" si="4"/>
        <v>45809</v>
      </c>
      <c r="O20" s="3">
        <f t="shared" si="4"/>
        <v>45839</v>
      </c>
      <c r="P20" s="3">
        <f t="shared" si="4"/>
        <v>45870</v>
      </c>
      <c r="Q20" s="3">
        <f t="shared" si="4"/>
        <v>45901</v>
      </c>
      <c r="R20" s="3">
        <f t="shared" si="4"/>
        <v>45931</v>
      </c>
      <c r="S20" s="3">
        <f t="shared" si="4"/>
        <v>45962</v>
      </c>
      <c r="T20" s="3">
        <f t="shared" si="4"/>
        <v>45992</v>
      </c>
    </row>
    <row r="21" spans="1:20">
      <c r="B21">
        <f>'Actual Expenses'!B6</f>
        <v>11256</v>
      </c>
      <c r="C21" t="str">
        <f>'Actual Expenses'!C6</f>
        <v>Marketing</v>
      </c>
      <c r="D21" t="str">
        <f>'Actual Expenses'!D6</f>
        <v>Paid Ads</v>
      </c>
      <c r="E21">
        <f>'Actual Expenses'!E6</f>
        <v>22992</v>
      </c>
      <c r="F21">
        <f>'Actual Expenses'!F6</f>
        <v>24001</v>
      </c>
      <c r="G21">
        <f>'Actual Expenses'!G6</f>
        <v>26558</v>
      </c>
      <c r="H21">
        <f>'Actual Expenses'!H6</f>
        <v>25446</v>
      </c>
      <c r="I21" s="1">
        <f>I32*(1+$C$2)</f>
        <v>34917.689482945338</v>
      </c>
      <c r="J21" s="1">
        <f t="shared" ref="J21:T21" si="5">J32*(1+$C$2)</f>
        <v>34999.371639389101</v>
      </c>
      <c r="K21" s="1">
        <f t="shared" si="5"/>
        <v>37128.285881616714</v>
      </c>
      <c r="L21" s="1">
        <f t="shared" si="5"/>
        <v>37051.861512717493</v>
      </c>
      <c r="M21" s="1">
        <f t="shared" si="5"/>
        <v>39131.751112000558</v>
      </c>
      <c r="N21" s="1">
        <f t="shared" si="5"/>
        <v>39145.234959643334</v>
      </c>
      <c r="O21" s="1">
        <f t="shared" si="5"/>
        <v>41173.846309436871</v>
      </c>
      <c r="P21" s="1">
        <f t="shared" si="5"/>
        <v>41188.47055175525</v>
      </c>
      <c r="Q21" s="1">
        <f t="shared" si="5"/>
        <v>43213.245401582913</v>
      </c>
      <c r="R21" s="1">
        <f t="shared" si="5"/>
        <v>43226.056905783211</v>
      </c>
      <c r="S21" s="1">
        <f t="shared" si="5"/>
        <v>45249.761118855102</v>
      </c>
      <c r="T21" s="1">
        <f t="shared" si="5"/>
        <v>45261.931623797616</v>
      </c>
    </row>
    <row r="22" spans="1:20">
      <c r="B22">
        <f>'Actual Expenses'!B7</f>
        <v>11257</v>
      </c>
      <c r="C22" t="str">
        <f>'Actual Expenses'!C7</f>
        <v>Marketing</v>
      </c>
      <c r="D22" t="str">
        <f>'Actual Expenses'!D7</f>
        <v>Infuencers</v>
      </c>
      <c r="E22">
        <f>'Actual Expenses'!E7</f>
        <v>53326</v>
      </c>
      <c r="F22">
        <f>'Actual Expenses'!F7</f>
        <v>54223</v>
      </c>
      <c r="G22">
        <f>'Actual Expenses'!G7</f>
        <v>51000</v>
      </c>
      <c r="H22">
        <f>'Actual Expenses'!H7</f>
        <v>50000</v>
      </c>
      <c r="I22" s="1">
        <f t="shared" ref="I22:T28" si="6">I33*(1-$C$2)</f>
        <v>34200.980545385173</v>
      </c>
      <c r="J22" s="1">
        <f t="shared" ref="J22:T22" si="7">J33*(1-$C$2)</f>
        <v>33310.176480780006</v>
      </c>
      <c r="K22" s="1">
        <f t="shared" si="7"/>
        <v>32090.814518135339</v>
      </c>
      <c r="L22" s="1">
        <f t="shared" si="7"/>
        <v>31213.973673170192</v>
      </c>
      <c r="M22" s="1">
        <f t="shared" si="7"/>
        <v>30010.158161652198</v>
      </c>
      <c r="N22" s="1">
        <f t="shared" si="7"/>
        <v>29161.646182565881</v>
      </c>
      <c r="O22" s="1">
        <f t="shared" si="7"/>
        <v>27790.83885060023</v>
      </c>
      <c r="P22" s="1">
        <f t="shared" si="7"/>
        <v>26969.094121547165</v>
      </c>
      <c r="Q22" s="1">
        <f t="shared" si="7"/>
        <v>25628.388464371685</v>
      </c>
      <c r="R22" s="1">
        <f t="shared" si="7"/>
        <v>24768.79403287782</v>
      </c>
      <c r="S22" s="1">
        <f t="shared" si="7"/>
        <v>23566.346543980169</v>
      </c>
      <c r="T22" s="1">
        <f t="shared" si="7"/>
        <v>22623.485988124976</v>
      </c>
    </row>
    <row r="23" spans="1:20">
      <c r="B23">
        <f>'Actual Expenses'!B8</f>
        <v>11259</v>
      </c>
      <c r="C23" t="str">
        <f>'Actual Expenses'!C8</f>
        <v>Engineering</v>
      </c>
      <c r="D23" t="str">
        <f>'Actual Expenses'!D8</f>
        <v>Consulting</v>
      </c>
      <c r="E23">
        <f>'Actual Expenses'!E8</f>
        <v>35888</v>
      </c>
      <c r="F23">
        <f>'Actual Expenses'!F8</f>
        <v>36880</v>
      </c>
      <c r="G23">
        <f>'Actual Expenses'!G8</f>
        <v>37995</v>
      </c>
      <c r="H23">
        <f>'Actual Expenses'!H8</f>
        <v>40000</v>
      </c>
      <c r="I23" s="1">
        <f t="shared" si="6"/>
        <v>28828.77984095077</v>
      </c>
      <c r="J23" s="1">
        <f t="shared" si="6"/>
        <v>29829.570164476117</v>
      </c>
      <c r="K23" s="1">
        <f t="shared" si="6"/>
        <v>30825.317504704482</v>
      </c>
      <c r="L23" s="1">
        <f t="shared" si="6"/>
        <v>31789.738290075573</v>
      </c>
      <c r="M23" s="1">
        <f t="shared" si="6"/>
        <v>32770.197232069448</v>
      </c>
      <c r="N23" s="1">
        <f t="shared" si="6"/>
        <v>33750.717553995179</v>
      </c>
      <c r="O23" s="1">
        <f t="shared" si="6"/>
        <v>34731.303355507451</v>
      </c>
      <c r="P23" s="1">
        <f t="shared" si="6"/>
        <v>35711.936210127016</v>
      </c>
      <c r="Q23" s="1">
        <f t="shared" si="6"/>
        <v>36692.596813977179</v>
      </c>
      <c r="R23" s="1">
        <f t="shared" si="6"/>
        <v>37673.269972245129</v>
      </c>
      <c r="S23" s="1">
        <f t="shared" si="6"/>
        <v>38653.944825962666</v>
      </c>
      <c r="T23" s="1">
        <f t="shared" si="6"/>
        <v>39634.6139658135</v>
      </c>
    </row>
    <row r="24" spans="1:20">
      <c r="B24">
        <f>'Actual Expenses'!B9</f>
        <v>11260</v>
      </c>
      <c r="C24" t="str">
        <f>'Actual Expenses'!C9</f>
        <v>Engineering</v>
      </c>
      <c r="D24" t="str">
        <f>'Actual Expenses'!D9</f>
        <v>Travel</v>
      </c>
      <c r="E24">
        <f>'Actual Expenses'!E9</f>
        <v>87942</v>
      </c>
      <c r="F24">
        <f>'Actual Expenses'!F9</f>
        <v>85224</v>
      </c>
      <c r="G24">
        <f>'Actual Expenses'!G9</f>
        <v>82469</v>
      </c>
      <c r="H24">
        <f>'Actual Expenses'!H9</f>
        <v>81005</v>
      </c>
      <c r="I24" s="1">
        <f t="shared" si="6"/>
        <v>54899.524086309277</v>
      </c>
      <c r="J24" s="1">
        <f t="shared" si="6"/>
        <v>53324.630403736133</v>
      </c>
      <c r="K24" s="1">
        <f t="shared" si="6"/>
        <v>51738.725525692258</v>
      </c>
      <c r="L24" s="1">
        <f t="shared" si="6"/>
        <v>50128.337214179221</v>
      </c>
      <c r="M24" s="1">
        <f t="shared" si="6"/>
        <v>48532.325102439019</v>
      </c>
      <c r="N24" s="1">
        <f t="shared" si="6"/>
        <v>46935.402424132728</v>
      </c>
      <c r="O24" s="1">
        <f t="shared" si="6"/>
        <v>45337.880400851762</v>
      </c>
      <c r="P24" s="1">
        <f t="shared" si="6"/>
        <v>43736.510289264064</v>
      </c>
      <c r="Q24" s="1">
        <f t="shared" si="6"/>
        <v>42137.664854175375</v>
      </c>
      <c r="R24" s="1">
        <f t="shared" si="6"/>
        <v>40538.874672754966</v>
      </c>
      <c r="S24" s="1">
        <f t="shared" si="6"/>
        <v>38940.115777701256</v>
      </c>
      <c r="T24" s="1">
        <f t="shared" si="6"/>
        <v>37341.371385152641</v>
      </c>
    </row>
    <row r="25" spans="1:20">
      <c r="B25">
        <f>'Actual Expenses'!B10</f>
        <v>11263</v>
      </c>
      <c r="C25" t="str">
        <f>'Actual Expenses'!C10</f>
        <v>Support</v>
      </c>
      <c r="D25" t="str">
        <f>'Actual Expenses'!D10</f>
        <v>Software</v>
      </c>
      <c r="E25">
        <f>'Actual Expenses'!E10</f>
        <v>92622</v>
      </c>
      <c r="F25">
        <f>'Actual Expenses'!F10</f>
        <v>90005</v>
      </c>
      <c r="G25">
        <f>'Actual Expenses'!G10</f>
        <v>87556</v>
      </c>
      <c r="H25">
        <f>'Actual Expenses'!H10</f>
        <v>84522</v>
      </c>
      <c r="I25" s="1">
        <f t="shared" si="6"/>
        <v>57341.813562590374</v>
      </c>
      <c r="J25" s="1">
        <f t="shared" si="6"/>
        <v>55444.485458966454</v>
      </c>
      <c r="K25" s="1">
        <f t="shared" si="6"/>
        <v>53538.414930696134</v>
      </c>
      <c r="L25" s="1">
        <f t="shared" si="6"/>
        <v>51654.741549651335</v>
      </c>
      <c r="M25" s="1">
        <f t="shared" si="6"/>
        <v>49760.338279115051</v>
      </c>
      <c r="N25" s="1">
        <f t="shared" si="6"/>
        <v>47787.432473623994</v>
      </c>
      <c r="O25" s="1">
        <f t="shared" si="6"/>
        <v>45936.576201475269</v>
      </c>
      <c r="P25" s="1">
        <f t="shared" si="6"/>
        <v>44068.576570224628</v>
      </c>
      <c r="Q25" s="1">
        <f t="shared" si="6"/>
        <v>42151.344565080486</v>
      </c>
      <c r="R25" s="1">
        <f t="shared" si="6"/>
        <v>40254.195099483688</v>
      </c>
      <c r="S25" s="1">
        <f t="shared" si="6"/>
        <v>38357.095573872546</v>
      </c>
      <c r="T25" s="1">
        <f t="shared" si="6"/>
        <v>36391.144743915756</v>
      </c>
    </row>
    <row r="26" spans="1:20">
      <c r="B26">
        <f>'Actual Expenses'!B11</f>
        <v>11264</v>
      </c>
      <c r="C26" t="str">
        <f>'Actual Expenses'!C11</f>
        <v>Support</v>
      </c>
      <c r="D26" t="str">
        <f>'Actual Expenses'!D11</f>
        <v>Call Center</v>
      </c>
      <c r="E26">
        <f>'Actual Expenses'!E11</f>
        <v>27416</v>
      </c>
      <c r="F26">
        <f>'Actual Expenses'!F11</f>
        <v>26554</v>
      </c>
      <c r="G26">
        <f>'Actual Expenses'!G11</f>
        <v>24330</v>
      </c>
      <c r="H26">
        <f>'Actual Expenses'!H11</f>
        <v>22338</v>
      </c>
      <c r="I26" s="1">
        <f t="shared" si="6"/>
        <v>14549.273701251192</v>
      </c>
      <c r="J26" s="1">
        <f t="shared" si="6"/>
        <v>13276.457130534738</v>
      </c>
      <c r="K26" s="1">
        <f t="shared" si="6"/>
        <v>11997.135599311807</v>
      </c>
      <c r="L26" s="1">
        <f t="shared" si="6"/>
        <v>10778.931124305331</v>
      </c>
      <c r="M26" s="1">
        <f t="shared" si="6"/>
        <v>9537.5757378848175</v>
      </c>
      <c r="N26" s="1">
        <f t="shared" si="6"/>
        <v>8021.7835158805083</v>
      </c>
      <c r="O26" s="1">
        <f t="shared" si="6"/>
        <v>7164.9996728893593</v>
      </c>
      <c r="P26" s="1">
        <f t="shared" si="6"/>
        <v>5789.8934227000091</v>
      </c>
      <c r="Q26" s="1">
        <f t="shared" si="6"/>
        <v>4275.8521341583282</v>
      </c>
      <c r="R26" s="1">
        <f t="shared" si="6"/>
        <v>3381.5315295558466</v>
      </c>
      <c r="S26" s="1">
        <f t="shared" si="6"/>
        <v>2020.9961431256661</v>
      </c>
      <c r="T26" s="1">
        <f t="shared" si="6"/>
        <v>578.13463288932496</v>
      </c>
    </row>
    <row r="27" spans="1:20">
      <c r="B27">
        <f>'Actual Expenses'!B12</f>
        <v>11267</v>
      </c>
      <c r="C27" t="str">
        <f>'Actual Expenses'!C12</f>
        <v>HR</v>
      </c>
      <c r="D27" t="str">
        <f>'Actual Expenses'!D12</f>
        <v>Recruiting Events</v>
      </c>
      <c r="E27">
        <f>'Actual Expenses'!E12</f>
        <v>41696</v>
      </c>
      <c r="F27">
        <f>'Actual Expenses'!F12</f>
        <v>41696</v>
      </c>
      <c r="G27">
        <f>'Actual Expenses'!G12</f>
        <v>42558</v>
      </c>
      <c r="H27">
        <f>'Actual Expenses'!H12</f>
        <v>45448</v>
      </c>
      <c r="I27" s="1">
        <f t="shared" si="6"/>
        <v>32379.862872787697</v>
      </c>
      <c r="J27" s="1">
        <f t="shared" si="6"/>
        <v>33393.24659184787</v>
      </c>
      <c r="K27" s="1">
        <f t="shared" si="6"/>
        <v>34405.120024637334</v>
      </c>
      <c r="L27" s="1">
        <f t="shared" si="6"/>
        <v>35316.63006771393</v>
      </c>
      <c r="M27" s="1">
        <f t="shared" si="6"/>
        <v>36277.039902487682</v>
      </c>
      <c r="N27" s="1">
        <f t="shared" si="6"/>
        <v>37237.619600033184</v>
      </c>
      <c r="O27" s="1">
        <f t="shared" si="6"/>
        <v>38198.381949343799</v>
      </c>
      <c r="P27" s="1">
        <f t="shared" si="6"/>
        <v>39159.274248438553</v>
      </c>
      <c r="Q27" s="1">
        <f t="shared" si="6"/>
        <v>40120.241124014603</v>
      </c>
      <c r="R27" s="1">
        <f t="shared" si="6"/>
        <v>41081.239020871813</v>
      </c>
      <c r="S27" s="1">
        <f t="shared" si="6"/>
        <v>42042.2368808182</v>
      </c>
      <c r="T27" s="1">
        <f t="shared" si="6"/>
        <v>43003.213588512532</v>
      </c>
    </row>
    <row r="28" spans="1:20">
      <c r="B28">
        <f>'Actual Expenses'!B13</f>
        <v>11268</v>
      </c>
      <c r="C28" t="str">
        <f>'Actual Expenses'!C13</f>
        <v>HR</v>
      </c>
      <c r="D28" t="str">
        <f>'Actual Expenses'!D13</f>
        <v>Meetups</v>
      </c>
      <c r="E28">
        <f>'Actual Expenses'!E13</f>
        <v>60285</v>
      </c>
      <c r="F28">
        <f>'Actual Expenses'!F13</f>
        <v>61225</v>
      </c>
      <c r="G28">
        <f>'Actual Expenses'!G13</f>
        <v>68994</v>
      </c>
      <c r="H28">
        <f>'Actual Expenses'!H13</f>
        <v>72410</v>
      </c>
      <c r="I28" s="1">
        <f t="shared" si="6"/>
        <v>53693.924585540073</v>
      </c>
      <c r="J28" s="1">
        <f t="shared" si="6"/>
        <v>56511.928224733434</v>
      </c>
      <c r="K28" s="1">
        <f t="shared" si="6"/>
        <v>60962.76045329286</v>
      </c>
      <c r="L28" s="1">
        <f t="shared" si="6"/>
        <v>63613.011277057878</v>
      </c>
      <c r="M28" s="1">
        <f t="shared" si="6"/>
        <v>67863.643701044479</v>
      </c>
      <c r="N28" s="1">
        <f t="shared" si="6"/>
        <v>70560.152116717087</v>
      </c>
      <c r="O28" s="1">
        <f t="shared" si="6"/>
        <v>74806.187095914036</v>
      </c>
      <c r="P28" s="1">
        <f t="shared" si="6"/>
        <v>77725.223467028132</v>
      </c>
      <c r="Q28" s="1">
        <f t="shared" si="6"/>
        <v>81950.756454261034</v>
      </c>
      <c r="R28" s="1">
        <f t="shared" si="6"/>
        <v>84096.949373811105</v>
      </c>
      <c r="S28" s="1">
        <f t="shared" si="6"/>
        <v>88841.643862531098</v>
      </c>
      <c r="T28" s="1">
        <f t="shared" si="6"/>
        <v>91760.115365847887</v>
      </c>
    </row>
    <row r="29" spans="1:20">
      <c r="B29" s="6"/>
    </row>
    <row r="30" spans="1:20">
      <c r="B30" s="34" t="s">
        <v>44</v>
      </c>
      <c r="C30" s="34"/>
      <c r="D30" s="34"/>
      <c r="E30" s="11" t="s">
        <v>16</v>
      </c>
      <c r="F30" s="11"/>
      <c r="G30" s="11"/>
      <c r="H30" s="11"/>
      <c r="I30" s="5" t="s">
        <v>17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>
      <c r="A31" t="s">
        <v>31</v>
      </c>
      <c r="B31" s="6" t="str">
        <f>'Actual Expenses'!B5</f>
        <v>Account #</v>
      </c>
      <c r="C31" s="6" t="str">
        <f>'Actual Expenses'!C5</f>
        <v>Department</v>
      </c>
      <c r="D31" s="6" t="str">
        <f>'Actual Expenses'!D5</f>
        <v>Description</v>
      </c>
      <c r="E31" s="3">
        <f>'Actual Expenses'!E5</f>
        <v>45536</v>
      </c>
      <c r="F31" s="3">
        <f>'Actual Expenses'!F5</f>
        <v>45566</v>
      </c>
      <c r="G31" s="3">
        <f>'Actual Expenses'!G5</f>
        <v>45597</v>
      </c>
      <c r="H31" s="3">
        <f>'Actual Expenses'!H5</f>
        <v>45627</v>
      </c>
      <c r="I31" s="3">
        <f>EDATE(H31,1)</f>
        <v>45658</v>
      </c>
      <c r="J31" s="3">
        <f t="shared" ref="J31:T31" si="8">EDATE(I31,1)</f>
        <v>45689</v>
      </c>
      <c r="K31" s="3">
        <f t="shared" si="8"/>
        <v>45717</v>
      </c>
      <c r="L31" s="3">
        <f t="shared" si="8"/>
        <v>45748</v>
      </c>
      <c r="M31" s="3">
        <f t="shared" si="8"/>
        <v>45778</v>
      </c>
      <c r="N31" s="3">
        <f t="shared" si="8"/>
        <v>45809</v>
      </c>
      <c r="O31" s="3">
        <f t="shared" si="8"/>
        <v>45839</v>
      </c>
      <c r="P31" s="3">
        <f t="shared" si="8"/>
        <v>45870</v>
      </c>
      <c r="Q31" s="3">
        <f t="shared" si="8"/>
        <v>45901</v>
      </c>
      <c r="R31" s="3">
        <f t="shared" si="8"/>
        <v>45931</v>
      </c>
      <c r="S31" s="3">
        <f t="shared" si="8"/>
        <v>45962</v>
      </c>
      <c r="T31" s="3">
        <f t="shared" si="8"/>
        <v>45992</v>
      </c>
    </row>
    <row r="32" spans="1:20">
      <c r="B32">
        <f>'Actual Expenses'!B6</f>
        <v>11256</v>
      </c>
      <c r="C32" t="str">
        <f>'Actual Expenses'!C6</f>
        <v>Marketing</v>
      </c>
      <c r="D32" t="str">
        <f>'Actual Expenses'!D6</f>
        <v>Paid Ads</v>
      </c>
      <c r="E32">
        <f>'Actual Expenses'!E6</f>
        <v>22992</v>
      </c>
      <c r="F32">
        <f>'Actual Expenses'!F6</f>
        <v>24001</v>
      </c>
      <c r="G32">
        <f>'Actual Expenses'!G6</f>
        <v>26558</v>
      </c>
      <c r="H32">
        <f>'Actual Expenses'!H6</f>
        <v>25446</v>
      </c>
      <c r="I32" s="1">
        <f>_xlfn.FORECAST.ETS(I$31,$E32:H32,$E$31:H$31)</f>
        <v>26859.76114072718</v>
      </c>
      <c r="J32" s="1">
        <f>_xlfn.FORECAST.ETS(J$31,$E32:I32,$E$31:I$31)</f>
        <v>26922.593568760843</v>
      </c>
      <c r="K32" s="1">
        <f>_xlfn.FORECAST.ETS(K$31,$E32:J32,$E$31:J$31)</f>
        <v>28560.219908935931</v>
      </c>
      <c r="L32" s="1">
        <f>_xlfn.FORECAST.ETS(L$31,$E32:K32,$E$31:K$31)</f>
        <v>28501.43193285961</v>
      </c>
      <c r="M32" s="1">
        <f>_xlfn.FORECAST.ETS(M$31,$E32:L32,$E$31:L$31)</f>
        <v>30101.347009231198</v>
      </c>
      <c r="N32" s="1">
        <f>_xlfn.FORECAST.ETS(N$31,$E32:M32,$E$31:M$31)</f>
        <v>30111.719199725641</v>
      </c>
      <c r="O32" s="1">
        <f>_xlfn.FORECAST.ETS(O$31,$E32:N32,$E$31:N$31)</f>
        <v>31672.189468797595</v>
      </c>
      <c r="P32" s="1">
        <f>_xlfn.FORECAST.ETS(P$31,$E32:O32,$E$31:O$31)</f>
        <v>31683.438885965574</v>
      </c>
      <c r="Q32" s="1">
        <f>_xlfn.FORECAST.ETS(Q$31,$E32:P32,$E$31:P$31)</f>
        <v>33240.958001217623</v>
      </c>
      <c r="R32" s="1">
        <f>_xlfn.FORECAST.ETS(R$31,$E32:Q32,$E$31:Q$31)</f>
        <v>33250.813004448624</v>
      </c>
      <c r="S32" s="1">
        <f>_xlfn.FORECAST.ETS(S$31,$E32:R32,$E$31:R$31)</f>
        <v>34807.508552965461</v>
      </c>
      <c r="T32" s="1">
        <f>_xlfn.FORECAST.ETS(T$31,$E32:S32,$E$31:S$31)</f>
        <v>34816.870479844321</v>
      </c>
    </row>
    <row r="33" spans="2:20">
      <c r="B33">
        <f>'Actual Expenses'!B7</f>
        <v>11257</v>
      </c>
      <c r="C33" t="str">
        <f>'Actual Expenses'!C7</f>
        <v>Marketing</v>
      </c>
      <c r="D33" t="str">
        <f>'Actual Expenses'!D7</f>
        <v>Infuencers</v>
      </c>
      <c r="E33">
        <f>'Actual Expenses'!E7</f>
        <v>53326</v>
      </c>
      <c r="F33">
        <f>'Actual Expenses'!F7</f>
        <v>54223</v>
      </c>
      <c r="G33">
        <f>'Actual Expenses'!G7</f>
        <v>51000</v>
      </c>
      <c r="H33">
        <f>'Actual Expenses'!H7</f>
        <v>50000</v>
      </c>
      <c r="I33" s="1">
        <f>_xlfn.FORECAST.ETS(I$31,$E33:H33,$E$31:H$31)</f>
        <v>48858.543636264534</v>
      </c>
      <c r="J33" s="1">
        <f>_xlfn.FORECAST.ETS(J$31,$E33:I33,$E$31:I$31)</f>
        <v>47585.966401114296</v>
      </c>
      <c r="K33" s="1">
        <f>_xlfn.FORECAST.ETS(K$31,$E33:J33,$E$31:J$31)</f>
        <v>45844.020740193344</v>
      </c>
      <c r="L33" s="1">
        <f>_xlfn.FORECAST.ETS(L$31,$E33:K33,$E$31:K$31)</f>
        <v>44591.390961671706</v>
      </c>
      <c r="M33" s="1">
        <f>_xlfn.FORECAST.ETS(M$31,$E33:L33,$E$31:L$31)</f>
        <v>42871.654516645998</v>
      </c>
      <c r="N33" s="1">
        <f>_xlfn.FORECAST.ETS(N$31,$E33:M33,$E$31:M$31)</f>
        <v>41659.494546522692</v>
      </c>
      <c r="O33" s="1">
        <f>_xlfn.FORECAST.ETS(O$31,$E33:N33,$E$31:N$31)</f>
        <v>39701.198358000329</v>
      </c>
      <c r="P33" s="1">
        <f>_xlfn.FORECAST.ETS(P$31,$E33:O33,$E$31:O$31)</f>
        <v>38527.277316495951</v>
      </c>
      <c r="Q33" s="1">
        <f>_xlfn.FORECAST.ETS(Q$31,$E33:P33,$E$31:P$31)</f>
        <v>36611.983520530979</v>
      </c>
      <c r="R33" s="1">
        <f>_xlfn.FORECAST.ETS(R$31,$E33:Q33,$E$31:Q$31)</f>
        <v>35383.991475539748</v>
      </c>
      <c r="S33" s="1">
        <f>_xlfn.FORECAST.ETS(S$31,$E33:R33,$E$31:R$31)</f>
        <v>33666.209348543103</v>
      </c>
      <c r="T33" s="1">
        <f>_xlfn.FORECAST.ETS(T$31,$E33:S33,$E$31:S$31)</f>
        <v>32319.265697321396</v>
      </c>
    </row>
    <row r="34" spans="2:20">
      <c r="B34">
        <f>'Actual Expenses'!B8</f>
        <v>11259</v>
      </c>
      <c r="C34" t="str">
        <f>'Actual Expenses'!C8</f>
        <v>Engineering</v>
      </c>
      <c r="D34" t="str">
        <f>'Actual Expenses'!D8</f>
        <v>Consulting</v>
      </c>
      <c r="E34">
        <f>'Actual Expenses'!E8</f>
        <v>35888</v>
      </c>
      <c r="F34">
        <f>'Actual Expenses'!F8</f>
        <v>36880</v>
      </c>
      <c r="G34">
        <f>'Actual Expenses'!G8</f>
        <v>37995</v>
      </c>
      <c r="H34">
        <f>'Actual Expenses'!H8</f>
        <v>40000</v>
      </c>
      <c r="I34" s="1">
        <f>_xlfn.FORECAST.ETS(I$31,$E34:H34,$E$31:H$31)</f>
        <v>41183.971201358247</v>
      </c>
      <c r="J34" s="1">
        <f>_xlfn.FORECAST.ETS(J$31,$E34:I34,$E$31:I$31)</f>
        <v>42613.671663537316</v>
      </c>
      <c r="K34" s="1">
        <f>_xlfn.FORECAST.ETS(K$31,$E34:J34,$E$31:J$31)</f>
        <v>44036.167863863549</v>
      </c>
      <c r="L34" s="1">
        <f>_xlfn.FORECAST.ETS(L$31,$E34:K34,$E$31:K$31)</f>
        <v>45413.911842965106</v>
      </c>
      <c r="M34" s="1">
        <f>_xlfn.FORECAST.ETS(M$31,$E34:L34,$E$31:L$31)</f>
        <v>46814.567474384923</v>
      </c>
      <c r="N34" s="1">
        <f>_xlfn.FORECAST.ETS(N$31,$E34:M34,$E$31:M$31)</f>
        <v>48215.310791421689</v>
      </c>
      <c r="O34" s="1">
        <f>_xlfn.FORECAST.ETS(O$31,$E34:N34,$E$31:N$31)</f>
        <v>49616.147650724932</v>
      </c>
      <c r="P34" s="1">
        <f>_xlfn.FORECAST.ETS(P$31,$E34:O34,$E$31:O$31)</f>
        <v>51017.051728752886</v>
      </c>
      <c r="Q34" s="1">
        <f>_xlfn.FORECAST.ETS(Q$31,$E34:P34,$E$31:P$31)</f>
        <v>52417.99544853883</v>
      </c>
      <c r="R34" s="1">
        <f>_xlfn.FORECAST.ETS(R$31,$E34:Q34,$E$31:Q$31)</f>
        <v>53818.957103207329</v>
      </c>
      <c r="S34" s="1">
        <f>_xlfn.FORECAST.ETS(S$31,$E34:R34,$E$31:R$31)</f>
        <v>55219.921179946665</v>
      </c>
      <c r="T34" s="1">
        <f>_xlfn.FORECAST.ETS(T$31,$E34:S34,$E$31:S$31)</f>
        <v>56620.877094019284</v>
      </c>
    </row>
    <row r="35" spans="2:20">
      <c r="B35">
        <f>'Actual Expenses'!B9</f>
        <v>11260</v>
      </c>
      <c r="C35" t="str">
        <f>'Actual Expenses'!C9</f>
        <v>Engineering</v>
      </c>
      <c r="D35" t="str">
        <f>'Actual Expenses'!D9</f>
        <v>Travel</v>
      </c>
      <c r="E35">
        <f>'Actual Expenses'!E9</f>
        <v>87942</v>
      </c>
      <c r="F35">
        <f>'Actual Expenses'!F9</f>
        <v>85224</v>
      </c>
      <c r="G35">
        <f>'Actual Expenses'!G9</f>
        <v>82469</v>
      </c>
      <c r="H35">
        <f>'Actual Expenses'!H9</f>
        <v>81005</v>
      </c>
      <c r="I35" s="1">
        <f>_xlfn.FORECAST.ETS(I$31,$E35:H35,$E$31:H$31)</f>
        <v>78427.891551870402</v>
      </c>
      <c r="J35" s="1">
        <f>_xlfn.FORECAST.ETS(J$31,$E35:I35,$E$31:I$31)</f>
        <v>76178.043433908766</v>
      </c>
      <c r="K35" s="1">
        <f>_xlfn.FORECAST.ETS(K$31,$E35:J35,$E$31:J$31)</f>
        <v>73912.46503670323</v>
      </c>
      <c r="L35" s="1">
        <f>_xlfn.FORECAST.ETS(L$31,$E35:K35,$E$31:K$31)</f>
        <v>71611.910305970319</v>
      </c>
      <c r="M35" s="1">
        <f>_xlfn.FORECAST.ETS(M$31,$E35:L35,$E$31:L$31)</f>
        <v>69331.893003484322</v>
      </c>
      <c r="N35" s="1">
        <f>_xlfn.FORECAST.ETS(N$31,$E35:M35,$E$31:M$31)</f>
        <v>67050.574891618191</v>
      </c>
      <c r="O35" s="1">
        <f>_xlfn.FORECAST.ETS(O$31,$E35:N35,$E$31:N$31)</f>
        <v>64768.400572645376</v>
      </c>
      <c r="P35" s="1">
        <f>_xlfn.FORECAST.ETS(P$31,$E35:O35,$E$31:O$31)</f>
        <v>62480.728984662957</v>
      </c>
      <c r="Q35" s="1">
        <f>_xlfn.FORECAST.ETS(Q$31,$E35:P35,$E$31:P$31)</f>
        <v>60196.664077393398</v>
      </c>
      <c r="R35" s="1">
        <f>_xlfn.FORECAST.ETS(R$31,$E35:Q35,$E$31:Q$31)</f>
        <v>57912.678103935665</v>
      </c>
      <c r="S35" s="1">
        <f>_xlfn.FORECAST.ETS(S$31,$E35:R35,$E$31:R$31)</f>
        <v>55628.736825287509</v>
      </c>
      <c r="T35" s="1">
        <f>_xlfn.FORECAST.ETS(T$31,$E35:S35,$E$31:S$31)</f>
        <v>53344.816264503774</v>
      </c>
    </row>
    <row r="36" spans="2:20">
      <c r="B36">
        <f>'Actual Expenses'!B10</f>
        <v>11263</v>
      </c>
      <c r="C36" t="str">
        <f>'Actual Expenses'!C10</f>
        <v>Support</v>
      </c>
      <c r="D36" t="str">
        <f>'Actual Expenses'!D10</f>
        <v>Software</v>
      </c>
      <c r="E36">
        <f>'Actual Expenses'!E10</f>
        <v>92622</v>
      </c>
      <c r="F36">
        <f>'Actual Expenses'!F10</f>
        <v>90005</v>
      </c>
      <c r="G36">
        <f>'Actual Expenses'!G10</f>
        <v>87556</v>
      </c>
      <c r="H36">
        <f>'Actual Expenses'!H10</f>
        <v>84522</v>
      </c>
      <c r="I36" s="1">
        <f>_xlfn.FORECAST.ETS(I$31,$E36:H36,$E$31:H$31)</f>
        <v>81916.876517986253</v>
      </c>
      <c r="J36" s="1">
        <f>_xlfn.FORECAST.ETS(J$31,$E36:I36,$E$31:I$31)</f>
        <v>79206.407798523505</v>
      </c>
      <c r="K36" s="1">
        <f>_xlfn.FORECAST.ETS(K$31,$E36:J36,$E$31:J$31)</f>
        <v>76483.449900994485</v>
      </c>
      <c r="L36" s="1">
        <f>_xlfn.FORECAST.ETS(L$31,$E36:K36,$E$31:K$31)</f>
        <v>73792.487928073344</v>
      </c>
      <c r="M36" s="1">
        <f>_xlfn.FORECAST.ETS(M$31,$E36:L36,$E$31:L$31)</f>
        <v>71086.197541592934</v>
      </c>
      <c r="N36" s="1">
        <f>_xlfn.FORECAST.ETS(N$31,$E36:M36,$E$31:M$31)</f>
        <v>68267.760676605714</v>
      </c>
      <c r="O36" s="1">
        <f>_xlfn.FORECAST.ETS(O$31,$E36:N36,$E$31:N$31)</f>
        <v>65623.680287821815</v>
      </c>
      <c r="P36" s="1">
        <f>_xlfn.FORECAST.ETS(P$31,$E36:O36,$E$31:O$31)</f>
        <v>62955.10938603519</v>
      </c>
      <c r="Q36" s="1">
        <f>_xlfn.FORECAST.ETS(Q$31,$E36:P36,$E$31:P$31)</f>
        <v>60216.206521543558</v>
      </c>
      <c r="R36" s="1">
        <f>_xlfn.FORECAST.ETS(R$31,$E36:Q36,$E$31:Q$31)</f>
        <v>57505.992999262417</v>
      </c>
      <c r="S36" s="1">
        <f>_xlfn.FORECAST.ETS(S$31,$E36:R36,$E$31:R$31)</f>
        <v>54795.850819817926</v>
      </c>
      <c r="T36" s="1">
        <f>_xlfn.FORECAST.ETS(T$31,$E36:S36,$E$31:S$31)</f>
        <v>51987.349634165374</v>
      </c>
    </row>
    <row r="37" spans="2:20">
      <c r="B37">
        <f>'Actual Expenses'!B11</f>
        <v>11264</v>
      </c>
      <c r="C37" t="str">
        <f>'Actual Expenses'!C11</f>
        <v>Support</v>
      </c>
      <c r="D37" t="str">
        <f>'Actual Expenses'!D11</f>
        <v>Call Center</v>
      </c>
      <c r="E37">
        <f>'Actual Expenses'!E11</f>
        <v>27416</v>
      </c>
      <c r="F37">
        <f>'Actual Expenses'!F11</f>
        <v>26554</v>
      </c>
      <c r="G37">
        <f>'Actual Expenses'!G11</f>
        <v>24330</v>
      </c>
      <c r="H37">
        <f>'Actual Expenses'!H11</f>
        <v>22338</v>
      </c>
      <c r="I37" s="1">
        <f>_xlfn.FORECAST.ETS(I$31,$E37:H37,$E$31:H$31)</f>
        <v>20784.676716073132</v>
      </c>
      <c r="J37" s="1">
        <f>_xlfn.FORECAST.ETS(J$31,$E37:I37,$E$31:I$31)</f>
        <v>18966.367329335342</v>
      </c>
      <c r="K37" s="1">
        <f>_xlfn.FORECAST.ETS(K$31,$E37:J37,$E$31:J$31)</f>
        <v>17138.76514187401</v>
      </c>
      <c r="L37" s="1">
        <f>_xlfn.FORECAST.ETS(L$31,$E37:K37,$E$31:K$31)</f>
        <v>15398.473034721901</v>
      </c>
      <c r="M37" s="1">
        <f>_xlfn.FORECAST.ETS(M$31,$E37:L37,$E$31:L$31)</f>
        <v>13625.108196978312</v>
      </c>
      <c r="N37" s="1">
        <f>_xlfn.FORECAST.ETS(N$31,$E37:M37,$E$31:M$31)</f>
        <v>11459.690736972156</v>
      </c>
      <c r="O37" s="1">
        <f>_xlfn.FORECAST.ETS(O$31,$E37:N37,$E$31:N$31)</f>
        <v>10235.713818413371</v>
      </c>
      <c r="P37" s="1">
        <f>_xlfn.FORECAST.ETS(P$31,$E37:O37,$E$31:O$31)</f>
        <v>8271.2763181428709</v>
      </c>
      <c r="Q37" s="1">
        <f>_xlfn.FORECAST.ETS(Q$31,$E37:P37,$E$31:P$31)</f>
        <v>6108.360191654755</v>
      </c>
      <c r="R37" s="1">
        <f>_xlfn.FORECAST.ETS(R$31,$E37:Q37,$E$31:Q$31)</f>
        <v>4830.7593279369239</v>
      </c>
      <c r="S37" s="1">
        <f>_xlfn.FORECAST.ETS(S$31,$E37:R37,$E$31:R$31)</f>
        <v>2887.1373473223803</v>
      </c>
      <c r="T37" s="1">
        <f>_xlfn.FORECAST.ETS(T$31,$E37:S37,$E$31:S$31)</f>
        <v>825.90661841332144</v>
      </c>
    </row>
    <row r="38" spans="2:20">
      <c r="B38">
        <f>'Actual Expenses'!B12</f>
        <v>11267</v>
      </c>
      <c r="C38" t="str">
        <f>'Actual Expenses'!C12</f>
        <v>HR</v>
      </c>
      <c r="D38" t="str">
        <f>'Actual Expenses'!D12</f>
        <v>Recruiting Events</v>
      </c>
      <c r="E38">
        <f>'Actual Expenses'!E12</f>
        <v>41696</v>
      </c>
      <c r="F38">
        <f>'Actual Expenses'!F12</f>
        <v>41696</v>
      </c>
      <c r="G38">
        <f>'Actual Expenses'!G12</f>
        <v>42558</v>
      </c>
      <c r="H38">
        <f>'Actual Expenses'!H12</f>
        <v>45448</v>
      </c>
      <c r="I38" s="1">
        <f>_xlfn.FORECAST.ETS(I$31,$E38:H38,$E$31:H$31)</f>
        <v>46256.946961125286</v>
      </c>
      <c r="J38" s="1">
        <f>_xlfn.FORECAST.ETS(J$31,$E38:I38,$E$31:I$31)</f>
        <v>47704.637988354101</v>
      </c>
      <c r="K38" s="1">
        <f>_xlfn.FORECAST.ETS(K$31,$E38:J38,$E$31:J$31)</f>
        <v>49150.17146376762</v>
      </c>
      <c r="L38" s="1">
        <f>_xlfn.FORECAST.ETS(L$31,$E38:K38,$E$31:K$31)</f>
        <v>50452.328668162765</v>
      </c>
      <c r="M38" s="1">
        <f>_xlfn.FORECAST.ETS(M$31,$E38:L38,$E$31:L$31)</f>
        <v>51824.34271783955</v>
      </c>
      <c r="N38" s="1">
        <f>_xlfn.FORECAST.ETS(N$31,$E38:M38,$E$31:M$31)</f>
        <v>53196.599428618836</v>
      </c>
      <c r="O38" s="1">
        <f>_xlfn.FORECAST.ETS(O$31,$E38:N38,$E$31:N$31)</f>
        <v>54569.117070491142</v>
      </c>
      <c r="P38" s="1">
        <f>_xlfn.FORECAST.ETS(P$31,$E38:O38,$E$31:O$31)</f>
        <v>55941.820354912226</v>
      </c>
      <c r="Q38" s="1">
        <f>_xlfn.FORECAST.ETS(Q$31,$E38:P38,$E$31:P$31)</f>
        <v>57314.630177163723</v>
      </c>
      <c r="R38" s="1">
        <f>_xlfn.FORECAST.ETS(R$31,$E38:Q38,$E$31:Q$31)</f>
        <v>58687.484315531168</v>
      </c>
      <c r="S38" s="1">
        <f>_xlfn.FORECAST.ETS(S$31,$E38:R38,$E$31:R$31)</f>
        <v>60060.338401168861</v>
      </c>
      <c r="T38" s="1">
        <f>_xlfn.FORECAST.ETS(T$31,$E38:S38,$E$31:S$31)</f>
        <v>61433.162269303619</v>
      </c>
    </row>
    <row r="39" spans="2:20">
      <c r="B39">
        <f>'Actual Expenses'!B13</f>
        <v>11268</v>
      </c>
      <c r="C39" t="str">
        <f>'Actual Expenses'!C13</f>
        <v>HR</v>
      </c>
      <c r="D39" t="str">
        <f>'Actual Expenses'!D13</f>
        <v>Meetups</v>
      </c>
      <c r="E39">
        <f>'Actual Expenses'!E13</f>
        <v>60285</v>
      </c>
      <c r="F39">
        <f>'Actual Expenses'!F13</f>
        <v>61225</v>
      </c>
      <c r="G39">
        <f>'Actual Expenses'!G13</f>
        <v>68994</v>
      </c>
      <c r="H39">
        <f>'Actual Expenses'!H13</f>
        <v>72410</v>
      </c>
      <c r="I39" s="1">
        <f>_xlfn.FORECAST.ETS(I$31,$E39:H39,$E$31:H$31)</f>
        <v>76705.606550771539</v>
      </c>
      <c r="J39" s="1">
        <f>_xlfn.FORECAST.ETS(J$31,$E39:I39,$E$31:I$31)</f>
        <v>80731.326035333477</v>
      </c>
      <c r="K39" s="1">
        <f>_xlfn.FORECAST.ETS(K$31,$E39:J39,$E$31:J$31)</f>
        <v>87089.65779041838</v>
      </c>
      <c r="L39" s="1">
        <f>_xlfn.FORECAST.ETS(L$31,$E39:K39,$E$31:K$31)</f>
        <v>90875.730395796971</v>
      </c>
      <c r="M39" s="1">
        <f>_xlfn.FORECAST.ETS(M$31,$E39:L39,$E$31:L$31)</f>
        <v>96948.062430063554</v>
      </c>
      <c r="N39" s="1">
        <f>_xlfn.FORECAST.ETS(N$31,$E39:M39,$E$31:M$31)</f>
        <v>100800.21730959584</v>
      </c>
      <c r="O39" s="1">
        <f>_xlfn.FORECAST.ETS(O$31,$E39:N39,$E$31:N$31)</f>
        <v>106865.98156559149</v>
      </c>
      <c r="P39" s="1">
        <f>_xlfn.FORECAST.ETS(P$31,$E39:O39,$E$31:O$31)</f>
        <v>111036.0335243259</v>
      </c>
      <c r="Q39" s="1">
        <f>_xlfn.FORECAST.ETS(Q$31,$E39:P39,$E$31:P$31)</f>
        <v>117072.50922037291</v>
      </c>
      <c r="R39" s="1">
        <f>_xlfn.FORECAST.ETS(R$31,$E39:Q39,$E$31:Q$31)</f>
        <v>120138.49910544444</v>
      </c>
      <c r="S39" s="1">
        <f>_xlfn.FORECAST.ETS(S$31,$E39:R39,$E$31:R$31)</f>
        <v>126916.63408933014</v>
      </c>
      <c r="T39" s="1">
        <f>_xlfn.FORECAST.ETS(T$31,$E39:S39,$E$31:S$31)</f>
        <v>131085.87909406843</v>
      </c>
    </row>
    <row r="41" spans="2:20">
      <c r="B41" s="34" t="s">
        <v>47</v>
      </c>
      <c r="C41" s="34"/>
      <c r="D41" s="34"/>
      <c r="E41" s="11" t="s">
        <v>16</v>
      </c>
      <c r="F41" s="11"/>
      <c r="G41" s="11"/>
      <c r="H41" s="11"/>
      <c r="I41" s="5" t="s">
        <v>17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2:20">
      <c r="B42" s="6" t="str">
        <f>'Actual Expenses'!B5</f>
        <v>Account #</v>
      </c>
      <c r="C42" s="6" t="str">
        <f>'Actual Expenses'!C5</f>
        <v>Department</v>
      </c>
      <c r="D42" s="6" t="str">
        <f>'Actual Expenses'!D5</f>
        <v>Description</v>
      </c>
      <c r="E42" s="3">
        <f>'Actual Expenses'!E5</f>
        <v>45536</v>
      </c>
      <c r="F42" s="3">
        <f>'Actual Expenses'!F5</f>
        <v>45566</v>
      </c>
      <c r="G42" s="3">
        <f>'Actual Expenses'!G5</f>
        <v>45597</v>
      </c>
      <c r="H42" s="3">
        <f>'Actual Expenses'!H5</f>
        <v>45627</v>
      </c>
      <c r="I42" s="3">
        <f>EDATE(H42,1)</f>
        <v>45658</v>
      </c>
      <c r="J42" s="3">
        <f t="shared" ref="J42:T42" si="9">EDATE(I42,1)</f>
        <v>45689</v>
      </c>
      <c r="K42" s="3">
        <f t="shared" si="9"/>
        <v>45717</v>
      </c>
      <c r="L42" s="3">
        <f t="shared" si="9"/>
        <v>45748</v>
      </c>
      <c r="M42" s="3">
        <f t="shared" si="9"/>
        <v>45778</v>
      </c>
      <c r="N42" s="3">
        <f t="shared" si="9"/>
        <v>45809</v>
      </c>
      <c r="O42" s="3">
        <f t="shared" si="9"/>
        <v>45839</v>
      </c>
      <c r="P42" s="3">
        <f t="shared" si="9"/>
        <v>45870</v>
      </c>
      <c r="Q42" s="3">
        <f t="shared" si="9"/>
        <v>45901</v>
      </c>
      <c r="R42" s="3">
        <f t="shared" si="9"/>
        <v>45931</v>
      </c>
      <c r="S42" s="3">
        <f t="shared" si="9"/>
        <v>45962</v>
      </c>
      <c r="T42" s="3">
        <f t="shared" si="9"/>
        <v>45992</v>
      </c>
    </row>
    <row r="43" spans="2:20">
      <c r="B43">
        <f>'Actual Expenses'!B6</f>
        <v>11256</v>
      </c>
      <c r="C43" t="str">
        <f>'Actual Expenses'!C6</f>
        <v>Marketing</v>
      </c>
      <c r="D43" t="str">
        <f>'Actual Expenses'!D6</f>
        <v>Paid Ads</v>
      </c>
      <c r="E43">
        <f>'Actual Expenses'!E6</f>
        <v>22992</v>
      </c>
      <c r="F43">
        <f>'Actual Expenses'!F6</f>
        <v>24001</v>
      </c>
      <c r="G43">
        <f>'Actual Expenses'!G6</f>
        <v>26558</v>
      </c>
      <c r="H43">
        <f>'Actual Expenses'!H6</f>
        <v>25446</v>
      </c>
      <c r="I43" s="1">
        <f>I32*(1-$C$3)</f>
        <v>22830.796969618103</v>
      </c>
      <c r="J43" s="1">
        <f t="shared" ref="J43:T43" si="10">J32*(1-$C$3)</f>
        <v>22884.204533446715</v>
      </c>
      <c r="K43" s="1">
        <f t="shared" si="10"/>
        <v>24276.186922595542</v>
      </c>
      <c r="L43" s="1">
        <f t="shared" si="10"/>
        <v>24226.217142930669</v>
      </c>
      <c r="M43" s="1">
        <f t="shared" si="10"/>
        <v>25586.144957846518</v>
      </c>
      <c r="N43" s="1">
        <f t="shared" si="10"/>
        <v>25594.961319766793</v>
      </c>
      <c r="O43" s="1">
        <f t="shared" si="10"/>
        <v>26921.361048477957</v>
      </c>
      <c r="P43" s="1">
        <f t="shared" si="10"/>
        <v>26930.923053070735</v>
      </c>
      <c r="Q43" s="1">
        <f t="shared" si="10"/>
        <v>28254.814301034978</v>
      </c>
      <c r="R43" s="1">
        <f t="shared" si="10"/>
        <v>28263.191053781331</v>
      </c>
      <c r="S43" s="1">
        <f t="shared" si="10"/>
        <v>29586.38227002064</v>
      </c>
      <c r="T43" s="1">
        <f t="shared" si="10"/>
        <v>29594.339907867674</v>
      </c>
    </row>
    <row r="44" spans="2:20">
      <c r="B44">
        <f>'Actual Expenses'!B7</f>
        <v>11257</v>
      </c>
      <c r="C44" t="str">
        <f>'Actual Expenses'!C7</f>
        <v>Marketing</v>
      </c>
      <c r="D44" t="str">
        <f>'Actual Expenses'!D7</f>
        <v>Infuencers</v>
      </c>
      <c r="E44">
        <f>'Actual Expenses'!E7</f>
        <v>53326</v>
      </c>
      <c r="F44">
        <f>'Actual Expenses'!F7</f>
        <v>54223</v>
      </c>
      <c r="G44">
        <f>'Actual Expenses'!G7</f>
        <v>51000</v>
      </c>
      <c r="H44">
        <f>'Actual Expenses'!H7</f>
        <v>50000</v>
      </c>
      <c r="I44" s="1">
        <f>I33*(1+$C$3)</f>
        <v>56187.325181704211</v>
      </c>
      <c r="J44" s="1">
        <f t="shared" ref="J43:T44" si="11">J33*(1+$C$3)</f>
        <v>54723.861361281437</v>
      </c>
      <c r="K44" s="1">
        <f t="shared" si="11"/>
        <v>52720.623851222343</v>
      </c>
      <c r="L44" s="1">
        <f t="shared" si="11"/>
        <v>51280.099605922456</v>
      </c>
      <c r="M44" s="1">
        <f t="shared" si="11"/>
        <v>49302.402694142897</v>
      </c>
      <c r="N44" s="1">
        <f t="shared" si="11"/>
        <v>47908.418728501092</v>
      </c>
      <c r="O44" s="1">
        <f t="shared" si="11"/>
        <v>45656.378111700375</v>
      </c>
      <c r="P44" s="1">
        <f t="shared" si="11"/>
        <v>44306.368913970342</v>
      </c>
      <c r="Q44" s="1">
        <f t="shared" si="11"/>
        <v>42103.781048610625</v>
      </c>
      <c r="R44" s="1">
        <f t="shared" si="11"/>
        <v>40691.590196870704</v>
      </c>
      <c r="S44" s="1">
        <f t="shared" si="11"/>
        <v>38716.140750824568</v>
      </c>
      <c r="T44" s="1">
        <f t="shared" si="11"/>
        <v>37167.155551919604</v>
      </c>
    </row>
    <row r="45" spans="2:20">
      <c r="B45">
        <f>'Actual Expenses'!B8</f>
        <v>11259</v>
      </c>
      <c r="C45" t="str">
        <f>'Actual Expenses'!C8</f>
        <v>Engineering</v>
      </c>
      <c r="D45" t="str">
        <f>'Actual Expenses'!D8</f>
        <v>Consulting</v>
      </c>
      <c r="E45">
        <f>'Actual Expenses'!E8</f>
        <v>35888</v>
      </c>
      <c r="F45">
        <f>'Actual Expenses'!F8</f>
        <v>36880</v>
      </c>
      <c r="G45">
        <f>'Actual Expenses'!G8</f>
        <v>37995</v>
      </c>
      <c r="H45">
        <f>'Actual Expenses'!H8</f>
        <v>40000</v>
      </c>
      <c r="I45" s="1">
        <f t="shared" ref="I45:T50" si="12">I34*(1+$C$3)</f>
        <v>47361.566881561979</v>
      </c>
      <c r="J45" s="1">
        <f t="shared" si="12"/>
        <v>49005.72241306791</v>
      </c>
      <c r="K45" s="1">
        <f t="shared" si="12"/>
        <v>50641.593043443077</v>
      </c>
      <c r="L45" s="1">
        <f t="shared" si="12"/>
        <v>52225.998619409867</v>
      </c>
      <c r="M45" s="1">
        <f t="shared" si="12"/>
        <v>53836.752595542661</v>
      </c>
      <c r="N45" s="1">
        <f t="shared" si="12"/>
        <v>55447.607410134937</v>
      </c>
      <c r="O45" s="1">
        <f t="shared" si="12"/>
        <v>57058.569798333665</v>
      </c>
      <c r="P45" s="1">
        <f t="shared" si="12"/>
        <v>58669.609488065813</v>
      </c>
      <c r="Q45" s="1">
        <f t="shared" si="12"/>
        <v>60280.694765819651</v>
      </c>
      <c r="R45" s="1">
        <f t="shared" si="12"/>
        <v>61891.800668688426</v>
      </c>
      <c r="S45" s="1">
        <f t="shared" si="12"/>
        <v>63502.90935693866</v>
      </c>
      <c r="T45" s="1">
        <f t="shared" si="12"/>
        <v>65114.008658122169</v>
      </c>
    </row>
    <row r="46" spans="2:20">
      <c r="B46">
        <f>'Actual Expenses'!B9</f>
        <v>11260</v>
      </c>
      <c r="C46" t="str">
        <f>'Actual Expenses'!C9</f>
        <v>Engineering</v>
      </c>
      <c r="D46" t="str">
        <f>'Actual Expenses'!D9</f>
        <v>Travel</v>
      </c>
      <c r="E46">
        <f>'Actual Expenses'!E9</f>
        <v>87942</v>
      </c>
      <c r="F46">
        <f>'Actual Expenses'!F9</f>
        <v>85224</v>
      </c>
      <c r="G46">
        <f>'Actual Expenses'!G9</f>
        <v>82469</v>
      </c>
      <c r="H46">
        <f>'Actual Expenses'!H9</f>
        <v>81005</v>
      </c>
      <c r="I46" s="1">
        <f t="shared" si="12"/>
        <v>90192.075284650957</v>
      </c>
      <c r="J46" s="1">
        <f t="shared" si="12"/>
        <v>87604.749948995071</v>
      </c>
      <c r="K46" s="1">
        <f t="shared" si="12"/>
        <v>84999.334792208712</v>
      </c>
      <c r="L46" s="1">
        <f t="shared" si="12"/>
        <v>82353.696851865854</v>
      </c>
      <c r="M46" s="1">
        <f t="shared" si="12"/>
        <v>79731.676954006965</v>
      </c>
      <c r="N46" s="1">
        <f t="shared" si="12"/>
        <v>77108.161125360915</v>
      </c>
      <c r="O46" s="1">
        <f t="shared" si="12"/>
        <v>74483.660658542183</v>
      </c>
      <c r="P46" s="1">
        <f t="shared" si="12"/>
        <v>71852.8383323624</v>
      </c>
      <c r="Q46" s="1">
        <f t="shared" si="12"/>
        <v>69226.163689002409</v>
      </c>
      <c r="R46" s="1">
        <f t="shared" si="12"/>
        <v>66599.579819526014</v>
      </c>
      <c r="S46" s="1">
        <f t="shared" si="12"/>
        <v>63973.047349080633</v>
      </c>
      <c r="T46" s="1">
        <f t="shared" si="12"/>
        <v>61346.538704179336</v>
      </c>
    </row>
    <row r="47" spans="2:20">
      <c r="B47">
        <f>'Actual Expenses'!B10</f>
        <v>11263</v>
      </c>
      <c r="C47" t="str">
        <f>'Actual Expenses'!C10</f>
        <v>Support</v>
      </c>
      <c r="D47" t="str">
        <f>'Actual Expenses'!D10</f>
        <v>Software</v>
      </c>
      <c r="E47">
        <f>'Actual Expenses'!E10</f>
        <v>92622</v>
      </c>
      <c r="F47">
        <f>'Actual Expenses'!F10</f>
        <v>90005</v>
      </c>
      <c r="G47">
        <f>'Actual Expenses'!G10</f>
        <v>87556</v>
      </c>
      <c r="H47">
        <f>'Actual Expenses'!H10</f>
        <v>84522</v>
      </c>
      <c r="I47" s="1">
        <f t="shared" si="12"/>
        <v>94204.407995684189</v>
      </c>
      <c r="J47" s="1">
        <f t="shared" si="12"/>
        <v>91087.36896830202</v>
      </c>
      <c r="K47" s="1">
        <f t="shared" si="12"/>
        <v>87955.967386143646</v>
      </c>
      <c r="L47" s="1">
        <f t="shared" si="12"/>
        <v>84861.361117284338</v>
      </c>
      <c r="M47" s="1">
        <f t="shared" si="12"/>
        <v>81749.127172831868</v>
      </c>
      <c r="N47" s="1">
        <f t="shared" si="12"/>
        <v>78507.924778096567</v>
      </c>
      <c r="O47" s="1">
        <f t="shared" si="12"/>
        <v>75467.232330995088</v>
      </c>
      <c r="P47" s="1">
        <f t="shared" si="12"/>
        <v>72398.37579394046</v>
      </c>
      <c r="Q47" s="1">
        <f t="shared" si="12"/>
        <v>69248.637499775083</v>
      </c>
      <c r="R47" s="1">
        <f t="shared" si="12"/>
        <v>66131.891949151774</v>
      </c>
      <c r="S47" s="1">
        <f t="shared" si="12"/>
        <v>63015.228442790612</v>
      </c>
      <c r="T47" s="1">
        <f t="shared" si="12"/>
        <v>59785.452079290175</v>
      </c>
    </row>
    <row r="48" spans="2:20">
      <c r="B48">
        <f>'Actual Expenses'!B11</f>
        <v>11264</v>
      </c>
      <c r="C48" t="str">
        <f>'Actual Expenses'!C11</f>
        <v>Support</v>
      </c>
      <c r="D48" t="str">
        <f>'Actual Expenses'!D11</f>
        <v>Call Center</v>
      </c>
      <c r="E48">
        <f>'Actual Expenses'!E11</f>
        <v>27416</v>
      </c>
      <c r="F48">
        <f>'Actual Expenses'!F11</f>
        <v>26554</v>
      </c>
      <c r="G48">
        <f>'Actual Expenses'!G11</f>
        <v>24330</v>
      </c>
      <c r="H48">
        <f>'Actual Expenses'!H11</f>
        <v>22338</v>
      </c>
      <c r="I48" s="1">
        <f t="shared" si="12"/>
        <v>23902.378223484102</v>
      </c>
      <c r="J48" s="1">
        <f t="shared" si="12"/>
        <v>21811.322428735642</v>
      </c>
      <c r="K48" s="1">
        <f t="shared" si="12"/>
        <v>19709.57991315511</v>
      </c>
      <c r="L48" s="1">
        <f t="shared" si="12"/>
        <v>17708.243989930186</v>
      </c>
      <c r="M48" s="1">
        <f t="shared" si="12"/>
        <v>15668.874426525057</v>
      </c>
      <c r="N48" s="1">
        <f t="shared" si="12"/>
        <v>13178.644347517979</v>
      </c>
      <c r="O48" s="1">
        <f t="shared" si="12"/>
        <v>11771.070891175375</v>
      </c>
      <c r="P48" s="1">
        <f t="shared" si="12"/>
        <v>9511.9677658643013</v>
      </c>
      <c r="Q48" s="1">
        <f t="shared" si="12"/>
        <v>7024.6142204029675</v>
      </c>
      <c r="R48" s="1">
        <f t="shared" si="12"/>
        <v>5555.3732271274621</v>
      </c>
      <c r="S48" s="1">
        <f t="shared" si="12"/>
        <v>3320.2079494207369</v>
      </c>
      <c r="T48" s="1">
        <f t="shared" si="12"/>
        <v>949.79261117531962</v>
      </c>
    </row>
    <row r="49" spans="1:20">
      <c r="B49">
        <f>'Actual Expenses'!B12</f>
        <v>11267</v>
      </c>
      <c r="C49" t="str">
        <f>'Actual Expenses'!C12</f>
        <v>HR</v>
      </c>
      <c r="D49" t="str">
        <f>'Actual Expenses'!D12</f>
        <v>Recruiting Events</v>
      </c>
      <c r="E49">
        <f>'Actual Expenses'!E12</f>
        <v>41696</v>
      </c>
      <c r="F49">
        <f>'Actual Expenses'!F12</f>
        <v>41696</v>
      </c>
      <c r="G49">
        <f>'Actual Expenses'!G12</f>
        <v>42558</v>
      </c>
      <c r="H49">
        <f>'Actual Expenses'!H12</f>
        <v>45448</v>
      </c>
      <c r="I49" s="1">
        <f t="shared" si="12"/>
        <v>53195.489005294075</v>
      </c>
      <c r="J49" s="1">
        <f t="shared" si="12"/>
        <v>54860.333686607213</v>
      </c>
      <c r="K49" s="1">
        <f t="shared" si="12"/>
        <v>56522.697183332755</v>
      </c>
      <c r="L49" s="1">
        <f t="shared" si="12"/>
        <v>58020.177968387172</v>
      </c>
      <c r="M49" s="1">
        <f t="shared" si="12"/>
        <v>59597.994125515477</v>
      </c>
      <c r="N49" s="1">
        <f t="shared" si="12"/>
        <v>61176.089342911655</v>
      </c>
      <c r="O49" s="1">
        <f t="shared" si="12"/>
        <v>62754.484631064806</v>
      </c>
      <c r="P49" s="1">
        <f t="shared" si="12"/>
        <v>64333.093408149056</v>
      </c>
      <c r="Q49" s="1">
        <f t="shared" si="12"/>
        <v>65911.824703738283</v>
      </c>
      <c r="R49" s="1">
        <f t="shared" si="12"/>
        <v>67490.606962860838</v>
      </c>
      <c r="S49" s="1">
        <f t="shared" si="12"/>
        <v>69069.389161344181</v>
      </c>
      <c r="T49" s="1">
        <f t="shared" si="12"/>
        <v>70648.136609699155</v>
      </c>
    </row>
    <row r="50" spans="1:20">
      <c r="A50" t="s">
        <v>31</v>
      </c>
      <c r="B50">
        <f>'Actual Expenses'!B13</f>
        <v>11268</v>
      </c>
      <c r="C50" t="str">
        <f>'Actual Expenses'!C13</f>
        <v>HR</v>
      </c>
      <c r="D50" t="str">
        <f>'Actual Expenses'!D13</f>
        <v>Meetups</v>
      </c>
      <c r="E50">
        <f>'Actual Expenses'!E13</f>
        <v>60285</v>
      </c>
      <c r="F50">
        <f>'Actual Expenses'!F13</f>
        <v>61225</v>
      </c>
      <c r="G50">
        <f>'Actual Expenses'!G13</f>
        <v>68994</v>
      </c>
      <c r="H50">
        <f>'Actual Expenses'!H13</f>
        <v>72410</v>
      </c>
      <c r="I50" s="1">
        <f t="shared" si="12"/>
        <v>88211.447533387269</v>
      </c>
      <c r="J50" s="1">
        <f t="shared" si="12"/>
        <v>92841.024940633491</v>
      </c>
      <c r="K50" s="1">
        <f t="shared" si="12"/>
        <v>100153.10645898113</v>
      </c>
      <c r="L50" s="1">
        <f t="shared" si="12"/>
        <v>104507.08995516651</v>
      </c>
      <c r="M50" s="1">
        <f t="shared" si="12"/>
        <v>111490.27179457308</v>
      </c>
      <c r="N50" s="1">
        <f t="shared" si="12"/>
        <v>115920.24990603521</v>
      </c>
      <c r="O50" s="1">
        <f t="shared" si="12"/>
        <v>122895.8788004302</v>
      </c>
      <c r="P50" s="1">
        <f t="shared" si="12"/>
        <v>127691.43855297478</v>
      </c>
      <c r="Q50" s="1">
        <f t="shared" si="12"/>
        <v>134633.38560342885</v>
      </c>
      <c r="R50" s="1">
        <f t="shared" si="12"/>
        <v>138159.27397126111</v>
      </c>
      <c r="S50" s="1">
        <f t="shared" si="12"/>
        <v>145954.12920272964</v>
      </c>
      <c r="T50" s="1">
        <f t="shared" si="12"/>
        <v>150748.76095817867</v>
      </c>
    </row>
    <row r="51" spans="1:20"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</sheetData>
  <mergeCells count="4">
    <mergeCell ref="B41:D41"/>
    <mergeCell ref="B30:D30"/>
    <mergeCell ref="B19:D19"/>
    <mergeCell ref="B5:D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36F4-FE34-4C45-9B7A-00D49BFFA63E}">
  <dimension ref="A1:R40"/>
  <sheetViews>
    <sheetView showGridLines="0" topLeftCell="B1" zoomScale="115" zoomScaleNormal="115" workbookViewId="0">
      <selection activeCell="P20" sqref="P20"/>
    </sheetView>
  </sheetViews>
  <sheetFormatPr baseColWidth="10" defaultColWidth="11.1640625" defaultRowHeight="16"/>
  <cols>
    <col min="1" max="1" width="4.83203125" customWidth="1"/>
    <col min="2" max="2" width="32.5" customWidth="1"/>
    <col min="3" max="14" width="9.1640625" customWidth="1"/>
    <col min="16" max="16" width="32.33203125" bestFit="1" customWidth="1"/>
    <col min="17" max="17" width="22.83203125" customWidth="1"/>
  </cols>
  <sheetData>
    <row r="1" spans="1:18" ht="17" thickBot="1"/>
    <row r="2" spans="1:18" ht="17" thickBot="1">
      <c r="B2" s="71" t="s">
        <v>28</v>
      </c>
      <c r="C2" s="72">
        <v>2</v>
      </c>
    </row>
    <row r="3" spans="1:18" ht="22" thickBot="1">
      <c r="P3" s="82" t="s">
        <v>64</v>
      </c>
      <c r="Q3" s="83"/>
    </row>
    <row r="4" spans="1:18" ht="20" thickBot="1">
      <c r="A4" s="70" t="s">
        <v>31</v>
      </c>
      <c r="B4" s="53" t="s">
        <v>29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5"/>
      <c r="P4" s="84" t="s">
        <v>57</v>
      </c>
      <c r="Q4" s="85" t="s">
        <v>58</v>
      </c>
      <c r="R4" s="73"/>
    </row>
    <row r="5" spans="1:18" ht="18">
      <c r="B5" s="56" t="s">
        <v>30</v>
      </c>
      <c r="C5" s="57">
        <f>Forecast!I6</f>
        <v>45658</v>
      </c>
      <c r="D5" s="57">
        <f>Forecast!J6</f>
        <v>45689</v>
      </c>
      <c r="E5" s="57">
        <f>Forecast!K6</f>
        <v>45717</v>
      </c>
      <c r="F5" s="57">
        <f>Forecast!L6</f>
        <v>45748</v>
      </c>
      <c r="G5" s="57">
        <f>Forecast!M6</f>
        <v>45778</v>
      </c>
      <c r="H5" s="57">
        <f>Forecast!N6</f>
        <v>45809</v>
      </c>
      <c r="I5" s="57">
        <f>Forecast!O6</f>
        <v>45839</v>
      </c>
      <c r="J5" s="57">
        <f>Forecast!P6</f>
        <v>45870</v>
      </c>
      <c r="K5" s="57">
        <f>Forecast!Q6</f>
        <v>45901</v>
      </c>
      <c r="L5" s="57">
        <f>Forecast!R6</f>
        <v>45931</v>
      </c>
      <c r="M5" s="57">
        <f>Forecast!S6</f>
        <v>45962</v>
      </c>
      <c r="N5" s="58">
        <f>Forecast!T6</f>
        <v>45992</v>
      </c>
      <c r="P5" s="77" t="s">
        <v>59</v>
      </c>
      <c r="Q5" s="79">
        <f>SUM(C6:N6)</f>
        <v>9277418.3448493555</v>
      </c>
    </row>
    <row r="6" spans="1:18" ht="18">
      <c r="B6" s="40" t="s">
        <v>18</v>
      </c>
      <c r="C6" s="12">
        <f>C31</f>
        <v>704180.23442602297</v>
      </c>
      <c r="D6" s="12">
        <f t="shared" ref="D6:N6" si="0">D31</f>
        <v>692929.60771983885</v>
      </c>
      <c r="E6" s="12">
        <f t="shared" si="0"/>
        <v>691959.43803690234</v>
      </c>
      <c r="F6" s="12">
        <f t="shared" si="0"/>
        <v>679763.25291914132</v>
      </c>
      <c r="G6" s="13">
        <f t="shared" si="0"/>
        <v>678648.9141906579</v>
      </c>
      <c r="H6" s="12">
        <f t="shared" si="0"/>
        <v>858383.71640513011</v>
      </c>
      <c r="I6" s="12">
        <f t="shared" si="0"/>
        <v>853625.71840850322</v>
      </c>
      <c r="J6" s="12">
        <f t="shared" si="0"/>
        <v>839720.16578143986</v>
      </c>
      <c r="K6" s="12">
        <f t="shared" si="0"/>
        <v>835441.18060011335</v>
      </c>
      <c r="L6" s="12">
        <f t="shared" si="0"/>
        <v>820872.26158066106</v>
      </c>
      <c r="M6" s="12">
        <f t="shared" si="0"/>
        <v>818945.66610204231</v>
      </c>
      <c r="N6" s="59">
        <f t="shared" si="0"/>
        <v>802948.18867890211</v>
      </c>
      <c r="P6" s="77" t="s">
        <v>60</v>
      </c>
      <c r="Q6" s="79">
        <f>SUM(C15:N15)</f>
        <v>5063210.5234848401</v>
      </c>
    </row>
    <row r="7" spans="1:18" ht="18">
      <c r="B7" s="40" t="s">
        <v>19</v>
      </c>
      <c r="C7" s="12">
        <f>C35</f>
        <v>211254.0703278069</v>
      </c>
      <c r="D7" s="12">
        <f t="shared" ref="D7:N7" si="1">D35</f>
        <v>207878.88231595166</v>
      </c>
      <c r="E7" s="12">
        <f t="shared" si="1"/>
        <v>207587.83141107069</v>
      </c>
      <c r="F7" s="12">
        <f t="shared" si="1"/>
        <v>203928.97587574238</v>
      </c>
      <c r="G7" s="12">
        <f t="shared" si="1"/>
        <v>203594.67425719736</v>
      </c>
      <c r="H7" s="12">
        <f t="shared" si="1"/>
        <v>257515.11492153903</v>
      </c>
      <c r="I7" s="12">
        <f t="shared" si="1"/>
        <v>256087.71552255095</v>
      </c>
      <c r="J7" s="12">
        <f t="shared" si="1"/>
        <v>251916.04973443196</v>
      </c>
      <c r="K7" s="12">
        <f t="shared" si="1"/>
        <v>250632.35418003399</v>
      </c>
      <c r="L7" s="12">
        <f t="shared" si="1"/>
        <v>246261.6784741983</v>
      </c>
      <c r="M7" s="12">
        <f t="shared" si="1"/>
        <v>245683.69983061269</v>
      </c>
      <c r="N7" s="59">
        <f t="shared" si="1"/>
        <v>240884.45660367061</v>
      </c>
      <c r="P7" s="77" t="s">
        <v>61</v>
      </c>
      <c r="Q7" s="79">
        <f>Q5-Q6</f>
        <v>4214207.8213645155</v>
      </c>
    </row>
    <row r="8" spans="1:18" ht="18">
      <c r="B8" s="60" t="s">
        <v>20</v>
      </c>
      <c r="C8" s="7">
        <f>C6-C7</f>
        <v>492926.1640982161</v>
      </c>
      <c r="D8" s="7">
        <f t="shared" ref="D8:N8" si="2">D6-D7</f>
        <v>485050.72540388722</v>
      </c>
      <c r="E8" s="7">
        <f t="shared" si="2"/>
        <v>484371.60662583169</v>
      </c>
      <c r="F8" s="7">
        <f t="shared" si="2"/>
        <v>475834.27704339894</v>
      </c>
      <c r="G8" s="7">
        <f t="shared" si="2"/>
        <v>475054.23993346054</v>
      </c>
      <c r="H8" s="7">
        <f t="shared" si="2"/>
        <v>600868.60148359113</v>
      </c>
      <c r="I8" s="7">
        <f t="shared" si="2"/>
        <v>597538.00288595224</v>
      </c>
      <c r="J8" s="7">
        <f t="shared" si="2"/>
        <v>587804.11604700796</v>
      </c>
      <c r="K8" s="7">
        <f t="shared" si="2"/>
        <v>584808.82642007933</v>
      </c>
      <c r="L8" s="7">
        <f t="shared" si="2"/>
        <v>574610.58310646273</v>
      </c>
      <c r="M8" s="7">
        <f t="shared" si="2"/>
        <v>573261.96627142956</v>
      </c>
      <c r="N8" s="61">
        <f t="shared" si="2"/>
        <v>562063.7320752315</v>
      </c>
      <c r="P8" s="77" t="s">
        <v>62</v>
      </c>
      <c r="Q8" s="80">
        <f>Q7/Q5</f>
        <v>0.45424359069720754</v>
      </c>
    </row>
    <row r="9" spans="1:18" ht="19" thickBot="1">
      <c r="B9" s="37"/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4"/>
      <c r="P9" s="78" t="s">
        <v>63</v>
      </c>
      <c r="Q9" s="81">
        <f>Q6/Q5</f>
        <v>0.54575640930279246</v>
      </c>
    </row>
    <row r="10" spans="1:18">
      <c r="B10" s="40" t="s">
        <v>22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9"/>
      <c r="P10" s="38"/>
      <c r="Q10" s="38"/>
    </row>
    <row r="11" spans="1:18">
      <c r="B11" s="65" t="str" cm="1">
        <f t="array" ref="B11:B14">_xlfn.UNIQUE(Forecast!C7:C14)</f>
        <v>Marketing</v>
      </c>
      <c r="C11" s="43">
        <f>SUMIFS(Forecast!I$7:I$14,Forecast!$C$7:$C$14,$B11)</f>
        <v>75718.304776991718</v>
      </c>
      <c r="D11" s="43">
        <f>SUMIFS(Forecast!J$7:J$14,Forecast!$C$7:$C$14,$B11)</f>
        <v>74508.559969875147</v>
      </c>
      <c r="E11" s="43">
        <f>SUMIFS(Forecast!K$7:K$14,Forecast!$C$7:$C$14,$B11)</f>
        <v>74404.240649129279</v>
      </c>
      <c r="F11" s="43">
        <f>SUMIFS(Forecast!L$7:L$14,Forecast!$C$7:$C$14,'Income Statement'!$B11)</f>
        <v>73092.822894531317</v>
      </c>
      <c r="G11" s="43">
        <f>SUMIFS(Forecast!M$7:M$14,Forecast!$C$7:$C$14,'Income Statement'!$B11)</f>
        <v>72973.001525877189</v>
      </c>
      <c r="H11" s="43">
        <f>SUMIFS(Forecast!N$7:N$14,Forecast!$C$7:$C$14,'Income Statement'!$B11)</f>
        <v>71771.213746248337</v>
      </c>
      <c r="I11" s="43">
        <f>SUMIFS(Forecast!O$7:O$14,Forecast!$C$7:$C$14,'Income Statement'!$B11)</f>
        <v>71373.387826797931</v>
      </c>
      <c r="J11" s="43">
        <f>SUMIFS(Forecast!P$7:P$14,Forecast!$C$7:$C$14,'Income Statement'!$B11)</f>
        <v>70210.716202461525</v>
      </c>
      <c r="K11" s="43">
        <f>SUMIFS(Forecast!Q$7:Q$14,Forecast!$C$7:$C$14,'Income Statement'!$B11)</f>
        <v>69852.941521748609</v>
      </c>
      <c r="L11" s="43">
        <f>SUMIFS(Forecast!R$7:R$14,Forecast!$C$7:$C$14,'Income Statement'!$B11)</f>
        <v>68634.804479988379</v>
      </c>
      <c r="M11" s="43">
        <f>SUMIFS(Forecast!S$7:S$14,Forecast!$C$7:$C$14,'Income Statement'!$B11)</f>
        <v>68473.717901508557</v>
      </c>
      <c r="N11" s="44">
        <f>SUMIFS(Forecast!T$7:T$14,Forecast!$C$7:$C$14,'Income Statement'!$B11)</f>
        <v>67136.136177165725</v>
      </c>
      <c r="O11" s="1"/>
    </row>
    <row r="12" spans="1:18">
      <c r="B12" s="65" t="str">
        <v>Engineering</v>
      </c>
      <c r="C12" s="43">
        <f>SUMIFS(Forecast!I$7:I$14,Forecast!$C$7:$C$14,$B12)</f>
        <v>119611.86275322865</v>
      </c>
      <c r="D12" s="43">
        <f>SUMIFS(Forecast!J$7:J$14,Forecast!$C$7:$C$14,'Income Statement'!$B12)</f>
        <v>118791.71509744608</v>
      </c>
      <c r="E12" s="43">
        <f>SUMIFS(Forecast!K$7:K$14,Forecast!$C$7:$C$14,'Income Statement'!$B12)</f>
        <v>117948.63290056678</v>
      </c>
      <c r="F12" s="43">
        <f>SUMIFS(Forecast!L$7:L$14,Forecast!$C$7:$C$14,'Income Statement'!$B12)</f>
        <v>117025.82214893543</v>
      </c>
      <c r="G12" s="43">
        <f>SUMIFS(Forecast!M$7:M$14,Forecast!$C$7:$C$14,'Income Statement'!$B12)</f>
        <v>116146.46047786924</v>
      </c>
      <c r="H12" s="43">
        <f>SUMIFS(Forecast!N$7:N$14,Forecast!$C$7:$C$14,'Income Statement'!$B12)</f>
        <v>115265.88568303987</v>
      </c>
      <c r="I12" s="43">
        <f>SUMIFS(Forecast!O$7:O$14,Forecast!$C$7:$C$14,'Income Statement'!$B12)</f>
        <v>114384.54822337031</v>
      </c>
      <c r="J12" s="43">
        <f>SUMIFS(Forecast!P$7:P$14,Forecast!$C$7:$C$14,'Income Statement'!$B12)</f>
        <v>113497.78071341585</v>
      </c>
      <c r="K12" s="43">
        <f>SUMIFS(Forecast!Q$7:Q$14,Forecast!$C$7:$C$14,'Income Statement'!$B12)</f>
        <v>112614.65952593222</v>
      </c>
      <c r="L12" s="43">
        <f>SUMIFS(Forecast!R$7:R$14,Forecast!$C$7:$C$14,'Income Statement'!$B12)</f>
        <v>111731.635207143</v>
      </c>
      <c r="M12" s="43">
        <f>SUMIFS(Forecast!S$7:S$14,Forecast!$C$7:$C$14,'Income Statement'!$B12)</f>
        <v>110848.65800523417</v>
      </c>
      <c r="N12" s="44">
        <f>SUMIFS(Forecast!T$7:T$14,Forecast!$C$7:$C$14,'Income Statement'!$B12)</f>
        <v>109965.69335852306</v>
      </c>
      <c r="O12" s="1"/>
    </row>
    <row r="13" spans="1:18">
      <c r="B13" s="65" t="str">
        <v>Support</v>
      </c>
      <c r="C13" s="43">
        <f>SUMIFS(Forecast!I$7:I$14,Forecast!$C$7:$C$14,$B13)</f>
        <v>102701.55323405939</v>
      </c>
      <c r="D13" s="43">
        <f>SUMIFS(Forecast!J$7:J$14,Forecast!$C$7:$C$14,'Income Statement'!$B13)</f>
        <v>98172.775127858855</v>
      </c>
      <c r="E13" s="43">
        <f>SUMIFS(Forecast!K$7:K$14,Forecast!$C$7:$C$14,'Income Statement'!$B13)</f>
        <v>93622.215042868498</v>
      </c>
      <c r="F13" s="43">
        <f>SUMIFS(Forecast!L$7:L$14,Forecast!$C$7:$C$14,'Income Statement'!$B13)</f>
        <v>89190.960962795245</v>
      </c>
      <c r="G13" s="43">
        <f>SUMIFS(Forecast!M$7:M$14,Forecast!$C$7:$C$14,'Income Statement'!$B13)</f>
        <v>84711.305738571245</v>
      </c>
      <c r="H13" s="43">
        <f>SUMIFS(Forecast!N$7:N$14,Forecast!$C$7:$C$14,'Income Statement'!$B13)</f>
        <v>79727.451413577874</v>
      </c>
      <c r="I13" s="43">
        <f>SUMIFS(Forecast!O$7:O$14,Forecast!$C$7:$C$14,'Income Statement'!$B13)</f>
        <v>75859.394106235181</v>
      </c>
      <c r="J13" s="43">
        <f>SUMIFS(Forecast!P$7:P$14,Forecast!$C$7:$C$14,'Income Statement'!$B13)</f>
        <v>71226.385704178057</v>
      </c>
      <c r="K13" s="43">
        <f>SUMIFS(Forecast!Q$7:Q$14,Forecast!$C$7:$C$14,'Income Statement'!$B13)</f>
        <v>66324.566713198306</v>
      </c>
      <c r="L13" s="43">
        <f>SUMIFS(Forecast!R$7:R$14,Forecast!$C$7:$C$14,'Income Statement'!$B13)</f>
        <v>62336.752327199341</v>
      </c>
      <c r="M13" s="43">
        <f>SUMIFS(Forecast!S$7:S$14,Forecast!$C$7:$C$14,'Income Statement'!$B13)</f>
        <v>57682.988167140305</v>
      </c>
      <c r="N13" s="44">
        <f>SUMIFS(Forecast!T$7:T$14,Forecast!$C$7:$C$14,'Income Statement'!$B13)</f>
        <v>52813.256252578693</v>
      </c>
      <c r="O13" s="1"/>
    </row>
    <row r="14" spans="1:18">
      <c r="B14" s="65" t="str">
        <v>HR</v>
      </c>
      <c r="C14" s="43">
        <f>SUMIFS(Forecast!I$7:I$14,Forecast!$C$7:$C$14,'Income Statement'!$B14)</f>
        <v>122962.55351189683</v>
      </c>
      <c r="D14" s="43">
        <f>SUMIFS(Forecast!J$7:J$14,Forecast!$C$7:$C$14,'Income Statement'!$B14)</f>
        <v>128435.96402368759</v>
      </c>
      <c r="E14" s="43">
        <f>SUMIFS(Forecast!K$7:K$14,Forecast!$C$7:$C$14,'Income Statement'!$B14)</f>
        <v>136239.82925418601</v>
      </c>
      <c r="F14" s="43">
        <f>SUMIFS(Forecast!L$7:L$14,Forecast!$C$7:$C$14,'Income Statement'!$B14)</f>
        <v>141328.05906395975</v>
      </c>
      <c r="G14" s="43">
        <f>SUMIFS(Forecast!M$7:M$14,Forecast!$C$7:$C$14,'Income Statement'!$B14)</f>
        <v>148772.4051479031</v>
      </c>
      <c r="H14" s="43">
        <f>SUMIFS(Forecast!N$7:N$14,Forecast!$C$7:$C$14,'Income Statement'!$B14)</f>
        <v>153996.81673821469</v>
      </c>
      <c r="I14" s="43">
        <f>SUMIFS(Forecast!O$7:O$14,Forecast!$C$7:$C$14,'Income Statement'!$B14)</f>
        <v>161435.09863608264</v>
      </c>
      <c r="J14" s="43">
        <f>SUMIFS(Forecast!P$7:P$14,Forecast!$C$7:$C$14,'Income Statement'!$B14)</f>
        <v>166977.85387923813</v>
      </c>
      <c r="K14" s="43">
        <f>SUMIFS(Forecast!Q$7:Q$14,Forecast!$C$7:$C$14,'Income Statement'!$B14)</f>
        <v>174387.13939753664</v>
      </c>
      <c r="L14" s="43">
        <f>SUMIFS(Forecast!R$7:R$14,Forecast!$C$7:$C$14,'Income Statement'!$B14)</f>
        <v>178825.98342097562</v>
      </c>
      <c r="M14" s="43">
        <f>SUMIFS(Forecast!S$7:S$14,Forecast!$C$7:$C$14,'Income Statement'!$B14)</f>
        <v>186976.972490499</v>
      </c>
      <c r="N14" s="44">
        <f>SUMIFS(Forecast!T$7:T$14,Forecast!$C$7:$C$14,'Income Statement'!$B14)</f>
        <v>192519.04136337206</v>
      </c>
      <c r="O14" s="1"/>
    </row>
    <row r="15" spans="1:18">
      <c r="B15" s="40" t="s">
        <v>21</v>
      </c>
      <c r="C15" s="43">
        <f>SUM(C11:C14)</f>
        <v>420994.27427617653</v>
      </c>
      <c r="D15" s="43">
        <f t="shared" ref="D15:N15" si="3">SUM(D11:D14)</f>
        <v>419909.0142188677</v>
      </c>
      <c r="E15" s="43">
        <f t="shared" si="3"/>
        <v>422214.91784675058</v>
      </c>
      <c r="F15" s="43">
        <f t="shared" si="3"/>
        <v>420637.66507022176</v>
      </c>
      <c r="G15" s="43">
        <f t="shared" si="3"/>
        <v>422603.17289022077</v>
      </c>
      <c r="H15" s="43">
        <f t="shared" si="3"/>
        <v>420761.36758108076</v>
      </c>
      <c r="I15" s="43">
        <f t="shared" si="3"/>
        <v>423052.42879248608</v>
      </c>
      <c r="J15" s="43">
        <f t="shared" si="3"/>
        <v>421912.73649929359</v>
      </c>
      <c r="K15" s="43">
        <f t="shared" si="3"/>
        <v>423179.30715841579</v>
      </c>
      <c r="L15" s="43">
        <f t="shared" si="3"/>
        <v>421529.17543530633</v>
      </c>
      <c r="M15" s="43">
        <f t="shared" si="3"/>
        <v>423982.33656438207</v>
      </c>
      <c r="N15" s="44">
        <f t="shared" si="3"/>
        <v>422434.12715163955</v>
      </c>
      <c r="O15" s="1"/>
    </row>
    <row r="16" spans="1:18">
      <c r="B16" s="60" t="s">
        <v>23</v>
      </c>
      <c r="C16" s="8">
        <f>C8-C15</f>
        <v>71931.889822039579</v>
      </c>
      <c r="D16" s="8">
        <f t="shared" ref="D16:N16" si="4">D8-D15</f>
        <v>65141.711185019522</v>
      </c>
      <c r="E16" s="8">
        <f t="shared" si="4"/>
        <v>62156.688779081102</v>
      </c>
      <c r="F16" s="8">
        <f t="shared" si="4"/>
        <v>55196.611973177176</v>
      </c>
      <c r="G16" s="8">
        <f t="shared" si="4"/>
        <v>52451.067043239775</v>
      </c>
      <c r="H16" s="8">
        <f t="shared" si="4"/>
        <v>180107.23390251037</v>
      </c>
      <c r="I16" s="8">
        <f t="shared" si="4"/>
        <v>174485.57409346616</v>
      </c>
      <c r="J16" s="8">
        <f t="shared" si="4"/>
        <v>165891.37954771437</v>
      </c>
      <c r="K16" s="8">
        <f t="shared" si="4"/>
        <v>161629.51926166355</v>
      </c>
      <c r="L16" s="8">
        <f t="shared" si="4"/>
        <v>153081.4076711564</v>
      </c>
      <c r="M16" s="8">
        <f t="shared" si="4"/>
        <v>149279.62970704748</v>
      </c>
      <c r="N16" s="66">
        <f t="shared" si="4"/>
        <v>139629.60492359195</v>
      </c>
    </row>
    <row r="17" spans="1:14">
      <c r="B17" s="37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4"/>
    </row>
    <row r="18" spans="1:14">
      <c r="B18" s="40" t="s">
        <v>24</v>
      </c>
      <c r="C18" s="12">
        <f>C38</f>
        <v>5281.3517581951728</v>
      </c>
      <c r="D18" s="12">
        <f t="shared" ref="D18:N18" si="5">D38</f>
        <v>5196.9720578987917</v>
      </c>
      <c r="E18" s="12">
        <f t="shared" si="5"/>
        <v>5189.6957852767673</v>
      </c>
      <c r="F18" s="12">
        <f t="shared" si="5"/>
        <v>5098.22439689356</v>
      </c>
      <c r="G18" s="12">
        <f t="shared" si="5"/>
        <v>5089.8668564299342</v>
      </c>
      <c r="H18" s="12">
        <f t="shared" si="5"/>
        <v>6437.8778730384765</v>
      </c>
      <c r="I18" s="12">
        <f t="shared" si="5"/>
        <v>6402.1928880637743</v>
      </c>
      <c r="J18" s="12">
        <f t="shared" si="5"/>
        <v>6297.9012433607995</v>
      </c>
      <c r="K18" s="12">
        <f t="shared" si="5"/>
        <v>6265.8088545008504</v>
      </c>
      <c r="L18" s="12">
        <f t="shared" si="5"/>
        <v>6156.5419618549577</v>
      </c>
      <c r="M18" s="12">
        <f t="shared" si="5"/>
        <v>6142.0924957653178</v>
      </c>
      <c r="N18" s="59">
        <f t="shared" si="5"/>
        <v>6022.1114150917656</v>
      </c>
    </row>
    <row r="19" spans="1:14">
      <c r="B19" s="60" t="s">
        <v>25</v>
      </c>
      <c r="C19" s="7">
        <f>C16-C18</f>
        <v>66650.538063844404</v>
      </c>
      <c r="D19" s="7">
        <f t="shared" ref="D19:N19" si="6">D16-D18</f>
        <v>59944.739127120731</v>
      </c>
      <c r="E19" s="7">
        <f t="shared" si="6"/>
        <v>56966.992993804335</v>
      </c>
      <c r="F19" s="7">
        <f t="shared" si="6"/>
        <v>50098.387576283618</v>
      </c>
      <c r="G19" s="7">
        <f t="shared" si="6"/>
        <v>47361.200186809838</v>
      </c>
      <c r="H19" s="7">
        <f t="shared" si="6"/>
        <v>173669.35602947191</v>
      </c>
      <c r="I19" s="7">
        <f t="shared" si="6"/>
        <v>168083.38120540237</v>
      </c>
      <c r="J19" s="7">
        <f t="shared" si="6"/>
        <v>159593.47830435357</v>
      </c>
      <c r="K19" s="7">
        <f t="shared" si="6"/>
        <v>155363.7104071627</v>
      </c>
      <c r="L19" s="7">
        <f t="shared" si="6"/>
        <v>146924.86570930143</v>
      </c>
      <c r="M19" s="7">
        <f t="shared" si="6"/>
        <v>143137.53721128218</v>
      </c>
      <c r="N19" s="61">
        <f t="shared" si="6"/>
        <v>133607.49350850019</v>
      </c>
    </row>
    <row r="20" spans="1:14">
      <c r="B20" s="37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4"/>
    </row>
    <row r="21" spans="1:14">
      <c r="B21" s="40" t="s">
        <v>26</v>
      </c>
      <c r="C21" s="12">
        <f>IF(C19&gt;0,C19*$C$40,0)</f>
        <v>16662.634515961101</v>
      </c>
      <c r="D21" s="12">
        <f t="shared" ref="D21:N21" si="7">IF(D19&gt;0,D19*$C$40,0)</f>
        <v>14986.184781780183</v>
      </c>
      <c r="E21" s="12">
        <f t="shared" si="7"/>
        <v>14241.748248451084</v>
      </c>
      <c r="F21" s="12">
        <f t="shared" si="7"/>
        <v>12524.596894070904</v>
      </c>
      <c r="G21" s="12">
        <f t="shared" si="7"/>
        <v>11840.300046702459</v>
      </c>
      <c r="H21" s="12">
        <f t="shared" si="7"/>
        <v>43417.339007367977</v>
      </c>
      <c r="I21" s="12">
        <f t="shared" si="7"/>
        <v>42020.845301350593</v>
      </c>
      <c r="J21" s="12">
        <f t="shared" si="7"/>
        <v>39898.369576088393</v>
      </c>
      <c r="K21" s="12">
        <f t="shared" si="7"/>
        <v>38840.927601790674</v>
      </c>
      <c r="L21" s="12">
        <f t="shared" si="7"/>
        <v>36731.216427325358</v>
      </c>
      <c r="M21" s="12">
        <f t="shared" si="7"/>
        <v>35784.384302820545</v>
      </c>
      <c r="N21" s="59">
        <f t="shared" si="7"/>
        <v>33401.873377125048</v>
      </c>
    </row>
    <row r="22" spans="1:14" ht="17" thickBot="1">
      <c r="B22" s="67" t="s">
        <v>27</v>
      </c>
      <c r="C22" s="68">
        <f>C19-C21</f>
        <v>49987.903547883303</v>
      </c>
      <c r="D22" s="68">
        <f t="shared" ref="D22:N22" si="8">D19-D21</f>
        <v>44958.554345340548</v>
      </c>
      <c r="E22" s="68">
        <f t="shared" si="8"/>
        <v>42725.244745353251</v>
      </c>
      <c r="F22" s="68">
        <f t="shared" si="8"/>
        <v>37573.790682212712</v>
      </c>
      <c r="G22" s="68">
        <f t="shared" si="8"/>
        <v>35520.900140107377</v>
      </c>
      <c r="H22" s="68">
        <f t="shared" si="8"/>
        <v>130252.01702210393</v>
      </c>
      <c r="I22" s="68">
        <f t="shared" si="8"/>
        <v>126062.53590405178</v>
      </c>
      <c r="J22" s="68">
        <f t="shared" si="8"/>
        <v>119695.10872826519</v>
      </c>
      <c r="K22" s="68">
        <f t="shared" si="8"/>
        <v>116522.78280537203</v>
      </c>
      <c r="L22" s="68">
        <f t="shared" si="8"/>
        <v>110193.64928197608</v>
      </c>
      <c r="M22" s="68">
        <f t="shared" si="8"/>
        <v>107353.15290846163</v>
      </c>
      <c r="N22" s="69">
        <f t="shared" si="8"/>
        <v>100205.62013137515</v>
      </c>
    </row>
    <row r="24" spans="1:14" ht="17" thickBot="1"/>
    <row r="25" spans="1:14" ht="17" thickBot="1">
      <c r="A25" s="70" t="s">
        <v>31</v>
      </c>
      <c r="B25" s="53" t="s">
        <v>32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5"/>
    </row>
    <row r="26" spans="1:14">
      <c r="B26" s="37" t="s">
        <v>18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9"/>
    </row>
    <row r="27" spans="1:14">
      <c r="B27" s="40" t="s">
        <v>33</v>
      </c>
      <c r="C27" s="41">
        <v>30</v>
      </c>
      <c r="D27" s="41">
        <v>30</v>
      </c>
      <c r="E27" s="41">
        <v>30</v>
      </c>
      <c r="F27" s="41">
        <v>30</v>
      </c>
      <c r="G27" s="41">
        <v>30</v>
      </c>
      <c r="H27" s="41">
        <v>25</v>
      </c>
      <c r="I27" s="41">
        <v>25</v>
      </c>
      <c r="J27" s="41">
        <v>25</v>
      </c>
      <c r="K27" s="41">
        <v>25</v>
      </c>
      <c r="L27" s="41">
        <v>25</v>
      </c>
      <c r="M27" s="41">
        <v>25</v>
      </c>
      <c r="N27" s="42">
        <v>25</v>
      </c>
    </row>
    <row r="28" spans="1:14">
      <c r="B28" s="40" t="s">
        <v>34</v>
      </c>
      <c r="C28" s="41">
        <v>279</v>
      </c>
      <c r="D28" s="41">
        <v>279</v>
      </c>
      <c r="E28" s="41">
        <v>279</v>
      </c>
      <c r="F28" s="41">
        <v>279</v>
      </c>
      <c r="G28" s="41">
        <v>279</v>
      </c>
      <c r="H28" s="41">
        <v>299</v>
      </c>
      <c r="I28" s="41">
        <v>299</v>
      </c>
      <c r="J28" s="41">
        <v>299</v>
      </c>
      <c r="K28" s="41">
        <v>299</v>
      </c>
      <c r="L28" s="41">
        <v>299</v>
      </c>
      <c r="M28" s="41">
        <v>299</v>
      </c>
      <c r="N28" s="42">
        <v>299</v>
      </c>
    </row>
    <row r="29" spans="1:14">
      <c r="B29" s="40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9"/>
    </row>
    <row r="30" spans="1:14">
      <c r="B30" s="40" t="s">
        <v>41</v>
      </c>
      <c r="C30" s="43">
        <f>C11/C27</f>
        <v>2523.9434925663904</v>
      </c>
      <c r="D30" s="43">
        <f t="shared" ref="D30:N30" si="9">D11/D27</f>
        <v>2483.618665662505</v>
      </c>
      <c r="E30" s="43">
        <f t="shared" si="9"/>
        <v>2480.141354970976</v>
      </c>
      <c r="F30" s="43">
        <f t="shared" si="9"/>
        <v>2436.4274298177106</v>
      </c>
      <c r="G30" s="43">
        <f t="shared" si="9"/>
        <v>2432.4333841959065</v>
      </c>
      <c r="H30" s="43">
        <f t="shared" si="9"/>
        <v>2870.8485498499335</v>
      </c>
      <c r="I30" s="43">
        <f t="shared" si="9"/>
        <v>2854.9355130719173</v>
      </c>
      <c r="J30" s="43">
        <f t="shared" si="9"/>
        <v>2808.4286480984611</v>
      </c>
      <c r="K30" s="43">
        <f t="shared" si="9"/>
        <v>2794.1176608699443</v>
      </c>
      <c r="L30" s="43">
        <f t="shared" si="9"/>
        <v>2745.3921791995353</v>
      </c>
      <c r="M30" s="43">
        <f t="shared" si="9"/>
        <v>2738.9487160603421</v>
      </c>
      <c r="N30" s="44">
        <f t="shared" si="9"/>
        <v>2685.445447086629</v>
      </c>
    </row>
    <row r="31" spans="1:14">
      <c r="B31" s="40" t="s">
        <v>18</v>
      </c>
      <c r="C31" s="43">
        <f>C30*C28</f>
        <v>704180.23442602297</v>
      </c>
      <c r="D31" s="43">
        <f t="shared" ref="D31:N31" si="10">D30*D28</f>
        <v>692929.60771983885</v>
      </c>
      <c r="E31" s="43">
        <f t="shared" si="10"/>
        <v>691959.43803690234</v>
      </c>
      <c r="F31" s="43">
        <f t="shared" si="10"/>
        <v>679763.25291914132</v>
      </c>
      <c r="G31" s="43">
        <f t="shared" si="10"/>
        <v>678648.9141906579</v>
      </c>
      <c r="H31" s="43">
        <f t="shared" si="10"/>
        <v>858383.71640513011</v>
      </c>
      <c r="I31" s="43">
        <f t="shared" si="10"/>
        <v>853625.71840850322</v>
      </c>
      <c r="J31" s="43">
        <f t="shared" si="10"/>
        <v>839720.16578143986</v>
      </c>
      <c r="K31" s="43">
        <f t="shared" si="10"/>
        <v>835441.18060011335</v>
      </c>
      <c r="L31" s="43">
        <f t="shared" si="10"/>
        <v>820872.26158066106</v>
      </c>
      <c r="M31" s="43">
        <f t="shared" si="10"/>
        <v>818945.66610204231</v>
      </c>
      <c r="N31" s="44">
        <f t="shared" si="10"/>
        <v>802948.18867890211</v>
      </c>
    </row>
    <row r="32" spans="1:14">
      <c r="B32" s="40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9"/>
    </row>
    <row r="33" spans="1:14">
      <c r="B33" s="37" t="s">
        <v>36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9"/>
    </row>
    <row r="34" spans="1:14">
      <c r="B34" s="40" t="s">
        <v>37</v>
      </c>
      <c r="C34" s="45">
        <v>0.3</v>
      </c>
      <c r="D34" s="45">
        <v>0.3</v>
      </c>
      <c r="E34" s="45">
        <v>0.3</v>
      </c>
      <c r="F34" s="45">
        <v>0.3</v>
      </c>
      <c r="G34" s="45">
        <v>0.3</v>
      </c>
      <c r="H34" s="45">
        <v>0.3</v>
      </c>
      <c r="I34" s="45">
        <v>0.3</v>
      </c>
      <c r="J34" s="45">
        <v>0.3</v>
      </c>
      <c r="K34" s="45">
        <v>0.3</v>
      </c>
      <c r="L34" s="45">
        <v>0.3</v>
      </c>
      <c r="M34" s="45">
        <v>0.3</v>
      </c>
      <c r="N34" s="46">
        <v>0.3</v>
      </c>
    </row>
    <row r="35" spans="1:14">
      <c r="B35" s="40" t="s">
        <v>19</v>
      </c>
      <c r="C35" s="43">
        <f>C31*C34</f>
        <v>211254.0703278069</v>
      </c>
      <c r="D35" s="43">
        <f t="shared" ref="D35:N35" si="11">D31*D34</f>
        <v>207878.88231595166</v>
      </c>
      <c r="E35" s="43">
        <f t="shared" si="11"/>
        <v>207587.83141107069</v>
      </c>
      <c r="F35" s="43">
        <f t="shared" si="11"/>
        <v>203928.97587574238</v>
      </c>
      <c r="G35" s="43">
        <f t="shared" si="11"/>
        <v>203594.67425719736</v>
      </c>
      <c r="H35" s="43">
        <f t="shared" si="11"/>
        <v>257515.11492153903</v>
      </c>
      <c r="I35" s="43">
        <f t="shared" si="11"/>
        <v>256087.71552255095</v>
      </c>
      <c r="J35" s="43">
        <f t="shared" si="11"/>
        <v>251916.04973443196</v>
      </c>
      <c r="K35" s="43">
        <f t="shared" si="11"/>
        <v>250632.35418003399</v>
      </c>
      <c r="L35" s="43">
        <f t="shared" si="11"/>
        <v>246261.6784741983</v>
      </c>
      <c r="M35" s="43">
        <f t="shared" si="11"/>
        <v>245683.69983061269</v>
      </c>
      <c r="N35" s="44">
        <f t="shared" si="11"/>
        <v>240884.45660367061</v>
      </c>
    </row>
    <row r="36" spans="1:14">
      <c r="B36" s="40"/>
      <c r="C36" s="47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9"/>
    </row>
    <row r="37" spans="1:14">
      <c r="B37" s="40" t="s">
        <v>38</v>
      </c>
      <c r="C37" s="48">
        <v>2.5000000000000001E-2</v>
      </c>
      <c r="D37" s="48">
        <v>2.5000000000000001E-2</v>
      </c>
      <c r="E37" s="48">
        <v>2.5000000000000001E-2</v>
      </c>
      <c r="F37" s="48">
        <v>2.5000000000000001E-2</v>
      </c>
      <c r="G37" s="48">
        <v>2.5000000000000001E-2</v>
      </c>
      <c r="H37" s="48">
        <v>2.5000000000000001E-2</v>
      </c>
      <c r="I37" s="48">
        <v>2.5000000000000001E-2</v>
      </c>
      <c r="J37" s="48">
        <v>2.5000000000000001E-2</v>
      </c>
      <c r="K37" s="48">
        <v>2.5000000000000001E-2</v>
      </c>
      <c r="L37" s="48">
        <v>2.5000000000000001E-2</v>
      </c>
      <c r="M37" s="48">
        <v>2.5000000000000001E-2</v>
      </c>
      <c r="N37" s="49">
        <v>2.5000000000000001E-2</v>
      </c>
    </row>
    <row r="38" spans="1:14" ht="17" thickBot="1">
      <c r="B38" s="50" t="s">
        <v>24</v>
      </c>
      <c r="C38" s="51">
        <f>C37*C35</f>
        <v>5281.3517581951728</v>
      </c>
      <c r="D38" s="51">
        <f t="shared" ref="D38:N38" si="12">D37*D35</f>
        <v>5196.9720578987917</v>
      </c>
      <c r="E38" s="51">
        <f t="shared" si="12"/>
        <v>5189.6957852767673</v>
      </c>
      <c r="F38" s="51">
        <f t="shared" si="12"/>
        <v>5098.22439689356</v>
      </c>
      <c r="G38" s="51">
        <f t="shared" si="12"/>
        <v>5089.8668564299342</v>
      </c>
      <c r="H38" s="51">
        <f t="shared" si="12"/>
        <v>6437.8778730384765</v>
      </c>
      <c r="I38" s="51">
        <f t="shared" si="12"/>
        <v>6402.1928880637743</v>
      </c>
      <c r="J38" s="51">
        <f t="shared" si="12"/>
        <v>6297.9012433607995</v>
      </c>
      <c r="K38" s="51">
        <f t="shared" si="12"/>
        <v>6265.8088545008504</v>
      </c>
      <c r="L38" s="51">
        <f t="shared" si="12"/>
        <v>6156.5419618549577</v>
      </c>
      <c r="M38" s="51">
        <f t="shared" si="12"/>
        <v>6142.0924957653178</v>
      </c>
      <c r="N38" s="52">
        <f t="shared" si="12"/>
        <v>6022.1114150917656</v>
      </c>
    </row>
    <row r="39" spans="1:14" ht="17" thickBot="1"/>
    <row r="40" spans="1:14" ht="17" thickBot="1">
      <c r="A40" s="70" t="s">
        <v>31</v>
      </c>
      <c r="B40" s="35" t="s">
        <v>35</v>
      </c>
      <c r="C40" s="36">
        <v>0.25</v>
      </c>
    </row>
  </sheetData>
  <mergeCells count="1">
    <mergeCell ref="P3:Q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95B33-B2DB-4E43-B5E1-E8CEAFA0BBC4}">
  <dimension ref="C1:L24"/>
  <sheetViews>
    <sheetView showGridLines="0" tabSelected="1" workbookViewId="0">
      <selection activeCell="C10" sqref="C10"/>
    </sheetView>
  </sheetViews>
  <sheetFormatPr baseColWidth="10" defaultRowHeight="16"/>
  <cols>
    <col min="3" max="3" width="111.33203125" bestFit="1" customWidth="1"/>
  </cols>
  <sheetData>
    <row r="1" spans="3:12" ht="17" thickBot="1"/>
    <row r="2" spans="3:12" ht="27" thickBot="1">
      <c r="C2" s="90" t="s">
        <v>65</v>
      </c>
      <c r="D2" s="91"/>
      <c r="E2" s="93"/>
      <c r="F2" s="93"/>
      <c r="G2" s="93"/>
      <c r="H2" s="38"/>
      <c r="I2" s="38"/>
      <c r="J2" s="38"/>
      <c r="K2" s="38"/>
      <c r="L2" s="38"/>
    </row>
    <row r="3" spans="3:12" ht="26">
      <c r="C3" s="87"/>
      <c r="D3" s="39"/>
      <c r="E3" s="38"/>
      <c r="F3" s="38"/>
      <c r="G3" s="38"/>
      <c r="H3" s="38"/>
      <c r="I3" s="38"/>
      <c r="J3" s="38"/>
      <c r="K3" s="38"/>
      <c r="L3" s="38"/>
    </row>
    <row r="4" spans="3:12" ht="21">
      <c r="C4" s="96" t="s">
        <v>66</v>
      </c>
      <c r="D4" s="97"/>
      <c r="E4" s="38"/>
      <c r="F4" s="38"/>
      <c r="G4" s="38"/>
      <c r="H4" s="38"/>
      <c r="I4" s="38"/>
      <c r="J4" s="38"/>
      <c r="K4" s="38"/>
      <c r="L4" s="38"/>
    </row>
    <row r="5" spans="3:12">
      <c r="C5" s="40"/>
      <c r="D5" s="39"/>
      <c r="E5" s="38"/>
      <c r="F5" s="38"/>
      <c r="G5" s="38"/>
      <c r="H5" s="38"/>
      <c r="I5" s="38"/>
      <c r="J5" s="38"/>
      <c r="K5" s="38"/>
      <c r="L5" s="38"/>
    </row>
    <row r="6" spans="3:12" ht="21">
      <c r="C6" s="88" t="s">
        <v>67</v>
      </c>
      <c r="D6" s="92"/>
      <c r="E6" s="89"/>
      <c r="F6" s="89"/>
      <c r="G6" s="89"/>
      <c r="H6" s="89"/>
      <c r="I6" s="89"/>
      <c r="J6" s="38"/>
      <c r="K6" s="38"/>
      <c r="L6" s="38"/>
    </row>
    <row r="7" spans="3:12">
      <c r="C7" s="40"/>
      <c r="D7" s="39"/>
      <c r="E7" s="38"/>
      <c r="F7" s="38"/>
      <c r="G7" s="38"/>
      <c r="H7" s="38"/>
      <c r="I7" s="38"/>
      <c r="J7" s="38"/>
      <c r="K7" s="38"/>
      <c r="L7" s="38"/>
    </row>
    <row r="8" spans="3:12" ht="21">
      <c r="C8" s="88" t="s">
        <v>68</v>
      </c>
      <c r="D8" s="92"/>
      <c r="E8" s="89"/>
      <c r="F8" s="89"/>
      <c r="G8" s="89"/>
      <c r="H8" s="89"/>
      <c r="I8" s="89"/>
      <c r="J8" s="38"/>
      <c r="K8" s="38"/>
      <c r="L8" s="38"/>
    </row>
    <row r="9" spans="3:12" ht="21">
      <c r="C9" s="88"/>
      <c r="D9" s="92"/>
      <c r="E9" s="89"/>
      <c r="F9" s="89"/>
      <c r="G9" s="89"/>
      <c r="H9" s="89"/>
      <c r="I9" s="89"/>
      <c r="J9" s="38"/>
      <c r="K9" s="38"/>
      <c r="L9" s="38"/>
    </row>
    <row r="10" spans="3:12" ht="21">
      <c r="C10" s="88" t="s">
        <v>69</v>
      </c>
      <c r="D10" s="92"/>
      <c r="E10" s="89"/>
      <c r="F10" s="89"/>
      <c r="G10" s="89"/>
      <c r="H10" s="89"/>
      <c r="I10" s="89"/>
      <c r="J10" s="38"/>
      <c r="K10" s="38"/>
      <c r="L10" s="38"/>
    </row>
    <row r="11" spans="3:12" ht="21">
      <c r="C11" s="88"/>
      <c r="D11" s="92"/>
      <c r="E11" s="89"/>
      <c r="F11" s="89"/>
      <c r="G11" s="89"/>
      <c r="H11" s="89"/>
      <c r="I11" s="89"/>
      <c r="J11" s="38"/>
      <c r="K11" s="38"/>
      <c r="L11" s="38"/>
    </row>
    <row r="12" spans="3:12" ht="21">
      <c r="C12" s="88" t="s">
        <v>70</v>
      </c>
      <c r="D12" s="92"/>
      <c r="E12" s="89"/>
      <c r="F12" s="89"/>
      <c r="G12" s="89"/>
      <c r="H12" s="89"/>
      <c r="I12" s="89"/>
      <c r="J12" s="38"/>
      <c r="K12" s="38"/>
      <c r="L12" s="38"/>
    </row>
    <row r="13" spans="3:12" ht="21">
      <c r="C13" s="88"/>
      <c r="D13" s="92"/>
      <c r="E13" s="89"/>
      <c r="F13" s="89"/>
      <c r="G13" s="89"/>
      <c r="H13" s="89"/>
      <c r="I13" s="89"/>
      <c r="J13" s="38"/>
      <c r="K13" s="38"/>
      <c r="L13" s="38"/>
    </row>
    <row r="14" spans="3:12" ht="22" thickBot="1">
      <c r="C14" s="98" t="s">
        <v>71</v>
      </c>
      <c r="D14" s="99"/>
      <c r="E14" s="89"/>
      <c r="F14" s="89"/>
      <c r="G14" s="89"/>
      <c r="H14" s="89"/>
      <c r="I14" s="89"/>
      <c r="J14" s="38"/>
      <c r="K14" s="38"/>
      <c r="L14" s="38"/>
    </row>
    <row r="15" spans="3:12" ht="27" thickBot="1">
      <c r="C15" s="103"/>
      <c r="D15" s="104"/>
      <c r="E15" s="38"/>
      <c r="F15" s="38"/>
      <c r="G15" s="38"/>
      <c r="H15" s="38"/>
      <c r="I15" s="38"/>
      <c r="J15" s="38"/>
      <c r="K15" s="38"/>
      <c r="L15" s="38"/>
    </row>
    <row r="16" spans="3:12" ht="21">
      <c r="C16" s="96" t="s">
        <v>72</v>
      </c>
      <c r="D16" s="97"/>
    </row>
    <row r="17" spans="3:7" ht="21">
      <c r="C17" s="94"/>
      <c r="D17" s="95"/>
    </row>
    <row r="18" spans="3:7" ht="21">
      <c r="C18" s="88" t="s">
        <v>73</v>
      </c>
      <c r="D18" s="39"/>
    </row>
    <row r="19" spans="3:7" ht="21">
      <c r="C19" s="88"/>
      <c r="D19" s="92"/>
      <c r="G19" s="38"/>
    </row>
    <row r="20" spans="3:7" ht="21">
      <c r="C20" s="88" t="s">
        <v>74</v>
      </c>
      <c r="D20" s="39"/>
    </row>
    <row r="21" spans="3:7" ht="21">
      <c r="C21" s="88"/>
      <c r="D21" s="92"/>
    </row>
    <row r="22" spans="3:7" ht="21">
      <c r="C22" s="88" t="s">
        <v>75</v>
      </c>
      <c r="D22" s="92"/>
    </row>
    <row r="23" spans="3:7" ht="21">
      <c r="C23" s="88"/>
      <c r="D23" s="92"/>
    </row>
    <row r="24" spans="3:7" ht="22" thickBot="1">
      <c r="C24" s="98" t="s">
        <v>76</v>
      </c>
      <c r="D24" s="9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D80A0-0518-6C47-BEB6-4001203097BB}">
  <dimension ref="B2:N4"/>
  <sheetViews>
    <sheetView zoomScale="115" zoomScaleNormal="115" workbookViewId="0">
      <selection activeCell="B19" sqref="B19"/>
    </sheetView>
  </sheetViews>
  <sheetFormatPr baseColWidth="10" defaultColWidth="11.1640625" defaultRowHeight="16"/>
  <cols>
    <col min="3" max="14" width="8.6640625" customWidth="1"/>
  </cols>
  <sheetData>
    <row r="2" spans="2:14">
      <c r="B2" s="4" t="s">
        <v>30</v>
      </c>
      <c r="C2" s="3">
        <f>'Income Statement'!C5</f>
        <v>45658</v>
      </c>
      <c r="D2" s="3">
        <f>EDATE(C2,1)</f>
        <v>45689</v>
      </c>
      <c r="E2" s="3">
        <f t="shared" ref="E2:N2" si="0">EDATE(D2,1)</f>
        <v>45717</v>
      </c>
      <c r="F2" s="3">
        <f t="shared" si="0"/>
        <v>45748</v>
      </c>
      <c r="G2" s="3">
        <f t="shared" si="0"/>
        <v>45778</v>
      </c>
      <c r="H2" s="3">
        <f t="shared" si="0"/>
        <v>45809</v>
      </c>
      <c r="I2" s="3">
        <f t="shared" si="0"/>
        <v>45839</v>
      </c>
      <c r="J2" s="3">
        <f t="shared" si="0"/>
        <v>45870</v>
      </c>
      <c r="K2" s="3">
        <f t="shared" si="0"/>
        <v>45901</v>
      </c>
      <c r="L2" s="3">
        <f t="shared" si="0"/>
        <v>45931</v>
      </c>
      <c r="M2" s="3">
        <f t="shared" si="0"/>
        <v>45962</v>
      </c>
      <c r="N2" s="3">
        <f t="shared" si="0"/>
        <v>45992</v>
      </c>
    </row>
    <row r="3" spans="2:14">
      <c r="B3" t="s">
        <v>18</v>
      </c>
      <c r="C3" s="2">
        <f>'Income Statement'!C6</f>
        <v>704180.23442602297</v>
      </c>
      <c r="D3" s="2">
        <f>'Income Statement'!D6</f>
        <v>692929.60771983885</v>
      </c>
      <c r="E3" s="2">
        <f>'Income Statement'!E6</f>
        <v>691959.43803690234</v>
      </c>
      <c r="F3" s="2">
        <f>'Income Statement'!F6</f>
        <v>679763.25291914132</v>
      </c>
      <c r="G3" s="2">
        <f>'Income Statement'!G6</f>
        <v>678648.9141906579</v>
      </c>
      <c r="H3" s="2">
        <f>'Income Statement'!H6</f>
        <v>858383.71640513011</v>
      </c>
      <c r="I3" s="2">
        <f>'Income Statement'!I6</f>
        <v>853625.71840850322</v>
      </c>
      <c r="J3" s="2">
        <f>'Income Statement'!J6</f>
        <v>839720.16578143986</v>
      </c>
      <c r="K3" s="2">
        <f>'Income Statement'!K6</f>
        <v>835441.18060011335</v>
      </c>
      <c r="L3" s="2">
        <f>'Income Statement'!L6</f>
        <v>820872.26158066106</v>
      </c>
      <c r="M3" s="2">
        <f>'Income Statement'!M6</f>
        <v>818945.66610204231</v>
      </c>
      <c r="N3" s="2">
        <f>'Income Statement'!N6</f>
        <v>802948.18867890211</v>
      </c>
    </row>
    <row r="4" spans="2:14">
      <c r="B4" t="s">
        <v>39</v>
      </c>
      <c r="C4" s="10">
        <f>'Income Statement'!C22/Visuals!C3</f>
        <v>7.0987370994058677E-2</v>
      </c>
      <c r="D4" s="10">
        <f>'Income Statement'!D22/Visuals!D3</f>
        <v>6.488184924480514E-2</v>
      </c>
      <c r="E4" s="10">
        <f>'Income Statement'!E22/Visuals!E3</f>
        <v>6.1745302393107479E-2</v>
      </c>
      <c r="F4" s="10">
        <f>'Income Statement'!F22/Visuals!F3</f>
        <v>5.5274818873861896E-2</v>
      </c>
      <c r="G4" s="10">
        <f>'Income Statement'!G22/Visuals!G3</f>
        <v>5.2340612940446292E-2</v>
      </c>
      <c r="H4" s="10">
        <f>'Income Statement'!H22/Visuals!H3</f>
        <v>0.1517410157401321</v>
      </c>
      <c r="I4" s="10">
        <f>'Income Statement'!I22/Visuals!I3</f>
        <v>0.14767893373583252</v>
      </c>
      <c r="J4" s="10">
        <f>'Income Statement'!J22/Visuals!J3</f>
        <v>0.14254166281320332</v>
      </c>
      <c r="K4" s="10">
        <f>'Income Statement'!K22/Visuals!K3</f>
        <v>0.13947455010737139</v>
      </c>
      <c r="L4" s="10">
        <f>'Income Statement'!L22/Visuals!L3</f>
        <v>0.1342397038362444</v>
      </c>
      <c r="M4" s="10">
        <f>'Income Statement'!M22/Visuals!M3</f>
        <v>0.13108702732311084</v>
      </c>
      <c r="N4" s="10">
        <f>'Income Statement'!N22/Visuals!N3</f>
        <v>0.12479711834987058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Actual Expenses</vt:lpstr>
      <vt:lpstr>Forecast</vt:lpstr>
      <vt:lpstr>Income Statement</vt:lpstr>
      <vt:lpstr>Insights And Recommendations</vt:lpstr>
      <vt:lpstr>Visuals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Sanskar Jain</cp:lastModifiedBy>
  <dcterms:created xsi:type="dcterms:W3CDTF">2023-03-06T12:19:00Z</dcterms:created>
  <dcterms:modified xsi:type="dcterms:W3CDTF">2026-01-06T17:27:48Z</dcterms:modified>
</cp:coreProperties>
</file>